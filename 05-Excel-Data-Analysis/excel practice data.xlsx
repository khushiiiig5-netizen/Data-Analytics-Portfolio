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60ed62404f59adad/Documents/Custom Office Templates/"/>
    </mc:Choice>
  </mc:AlternateContent>
  <xr:revisionPtr revIDLastSave="119" documentId="8_{DC295D1B-FE4B-4550-8000-9CFC12822648}" xr6:coauthVersionLast="47" xr6:coauthVersionMax="47" xr10:uidLastSave="{8DDB42DF-EE63-46DD-8441-88E2A581DE4B}"/>
  <bookViews>
    <workbookView xWindow="-108" yWindow="-108" windowWidth="23256" windowHeight="12456" activeTab="3" xr2:uid="{2EE5E63F-5993-49FE-8D67-07F136DC9473}"/>
  </bookViews>
  <sheets>
    <sheet name="raw data" sheetId="1" r:id="rId1"/>
    <sheet name="cleaned data" sheetId="3" r:id="rId2"/>
    <sheet name="pivot table" sheetId="4" r:id="rId3"/>
    <sheet name="analysis" sheetId="5" r:id="rId4"/>
  </sheets>
  <definedNames>
    <definedName name="sales_data">Table1[#All]</definedName>
    <definedName name="Slicer_Product">#N/A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G31" i="4"/>
  <c r="F31" i="4"/>
  <c r="G30" i="4"/>
  <c r="F30" i="4"/>
  <c r="G29" i="4"/>
  <c r="F29" i="4"/>
  <c r="G28" i="4"/>
  <c r="F28" i="4"/>
  <c r="G27" i="4"/>
  <c r="F27" i="4"/>
  <c r="G26" i="4"/>
  <c r="F26" i="4"/>
  <c r="G25" i="4"/>
  <c r="F25" i="4"/>
  <c r="G24" i="4"/>
  <c r="F24" i="4"/>
  <c r="G23" i="4"/>
  <c r="F23" i="4"/>
  <c r="G22" i="4"/>
  <c r="F22" i="4"/>
  <c r="G21" i="4"/>
  <c r="F21" i="4"/>
  <c r="G20" i="4"/>
  <c r="F20" i="4"/>
  <c r="G19" i="4"/>
  <c r="F19" i="4"/>
  <c r="G18" i="4"/>
  <c r="F18" i="4"/>
  <c r="G17" i="4"/>
  <c r="F17" i="4"/>
  <c r="G16" i="4"/>
  <c r="F16" i="4"/>
  <c r="G15" i="4"/>
  <c r="F15" i="4"/>
  <c r="G14" i="4"/>
  <c r="F14" i="4"/>
  <c r="G13" i="4"/>
  <c r="F13" i="4"/>
  <c r="G12" i="4"/>
  <c r="F12" i="4"/>
  <c r="G11" i="4"/>
  <c r="F11" i="4"/>
  <c r="G10" i="4"/>
  <c r="F10" i="4"/>
  <c r="G9" i="4"/>
  <c r="F9" i="4"/>
  <c r="G8" i="4"/>
  <c r="F8" i="4"/>
  <c r="G7" i="4"/>
  <c r="F7" i="4"/>
  <c r="G6" i="4"/>
  <c r="F6" i="4"/>
  <c r="G5" i="4"/>
  <c r="F5" i="4"/>
  <c r="G4" i="4"/>
  <c r="F4" i="4"/>
  <c r="G3" i="4"/>
  <c r="F3" i="4"/>
  <c r="G2" i="4"/>
  <c r="F2" i="4"/>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alcChain>
</file>

<file path=xl/sharedStrings.xml><?xml version="1.0" encoding="utf-8"?>
<sst xmlns="http://schemas.openxmlformats.org/spreadsheetml/2006/main" count="242" uniqueCount="32">
  <si>
    <t xml:space="preserve">Date </t>
  </si>
  <si>
    <t xml:space="preserve">  Region </t>
  </si>
  <si>
    <t xml:space="preserve"> Product </t>
  </si>
  <si>
    <t xml:space="preserve"> Quantity </t>
  </si>
  <si>
    <t xml:space="preserve"> Unit Price </t>
  </si>
  <si>
    <t xml:space="preserve"> Total Sales</t>
  </si>
  <si>
    <t>North</t>
  </si>
  <si>
    <t>Product A</t>
  </si>
  <si>
    <t>South</t>
  </si>
  <si>
    <t>Product B</t>
  </si>
  <si>
    <t>East</t>
  </si>
  <si>
    <t>Product C</t>
  </si>
  <si>
    <t>West</t>
  </si>
  <si>
    <t>ERROR CHECK</t>
  </si>
  <si>
    <t>Grand Total</t>
  </si>
  <si>
    <t>Sum of  Total Sales</t>
  </si>
  <si>
    <t>Column Labels</t>
  </si>
  <si>
    <t>Region</t>
  </si>
  <si>
    <t>Product</t>
  </si>
  <si>
    <t>month</t>
  </si>
  <si>
    <t>Jan</t>
  </si>
  <si>
    <t>Feb</t>
  </si>
  <si>
    <t>Mar</t>
  </si>
  <si>
    <t>Oct</t>
  </si>
  <si>
    <t>Nov</t>
  </si>
  <si>
    <t>Dec</t>
  </si>
  <si>
    <t>Month</t>
  </si>
  <si>
    <t>SALES DATA ANALYSIS - PIVOT TABLES</t>
  </si>
  <si>
    <t>1. TOTAL SALES BY REGION</t>
  </si>
  <si>
    <t>2. TOTAL SALES BY PRODUCT</t>
  </si>
  <si>
    <t>3.TOTAL SALES BY REGION AND PRODUCT</t>
  </si>
  <si>
    <t>4.MONTHLY 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</si>
</sst>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6" x14ac:knownFonts="1">
    <font>
      <sz val="11"/>
      <color theme="1"/>
      <name val="Calibri"/>
      <family val="2"/>
      <scheme val="minor"/>
    </font>
    <font>
      <sz val="11"/>
      <color theme="0"/>
      <name val="Calibri"/>
      <family val="2"/>
      <scheme val="minor"/>
    </font>
    <font>
      <b/>
      <sz val="36"/>
      <color theme="4" tint="-0.499984740745262"/>
      <name val="Calibri"/>
      <family val="2"/>
      <scheme val="minor"/>
    </font>
    <font>
      <b/>
      <sz val="12"/>
      <color theme="4" tint="-0.499984740745262"/>
      <name val="Calibri"/>
      <family val="2"/>
      <scheme val="minor"/>
    </font>
    <font>
      <b/>
      <sz val="14"/>
      <color theme="4" tint="-0.499984740745262"/>
      <name val="Calibri"/>
      <family val="2"/>
      <scheme val="minor"/>
    </font>
    <font>
      <b/>
      <sz val="16"/>
      <color theme="4" tint="-0.499984740745262"/>
      <name val="Calibri"/>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
      <patternFill patternType="solid">
        <fgColor theme="4" tint="0.59999389629810485"/>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theme="4" tint="0.39997558519241921"/>
      </right>
      <top style="thin">
        <color theme="4" tint="0.39997558519241921"/>
      </top>
      <bottom style="thin">
        <color theme="4" tint="0.39997558519241921"/>
      </bottom>
      <diagonal/>
    </border>
    <border>
      <left style="thin">
        <color theme="1"/>
      </left>
      <right style="thin">
        <color theme="1"/>
      </right>
      <top style="thin">
        <color theme="1"/>
      </top>
      <bottom style="thin">
        <color theme="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style="thin">
        <color indexed="64"/>
      </right>
      <top style="thin">
        <color indexed="64"/>
      </top>
      <bottom style="thin">
        <color indexed="64"/>
      </bottom>
      <diagonal/>
    </border>
    <border>
      <left/>
      <right style="thin">
        <color theme="4" tint="0.39997558519241921"/>
      </right>
      <top/>
      <bottom/>
      <diagonal/>
    </border>
    <border>
      <left style="thin">
        <color theme="4" tint="0.39997558519241921"/>
      </left>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theme="4" tint="0.39997558519241921"/>
      </left>
      <right style="thin">
        <color theme="1"/>
      </right>
      <top style="thin">
        <color theme="1"/>
      </top>
      <bottom style="thin">
        <color theme="1"/>
      </bottom>
      <diagonal/>
    </border>
    <border>
      <left style="thin">
        <color theme="4" tint="0.39997558519241921"/>
      </left>
      <right style="thin">
        <color indexed="64"/>
      </right>
      <top style="thin">
        <color theme="4" tint="0.39997558519241921"/>
      </top>
      <bottom style="thin">
        <color indexed="64"/>
      </bottom>
      <diagonal/>
    </border>
    <border>
      <left style="thin">
        <color indexed="64"/>
      </left>
      <right style="thin">
        <color indexed="64"/>
      </right>
      <top style="thin">
        <color theme="4" tint="0.39997558519241921"/>
      </top>
      <bottom style="thin">
        <color indexed="64"/>
      </bottom>
      <diagonal/>
    </border>
    <border>
      <left style="thin">
        <color indexed="64"/>
      </left>
      <right style="thin">
        <color theme="4" tint="0.39997558519241921"/>
      </right>
      <top style="thin">
        <color theme="4" tint="0.39997558519241921"/>
      </top>
      <bottom style="thin">
        <color indexed="64"/>
      </bottom>
      <diagonal/>
    </border>
    <border>
      <left style="thin">
        <color indexed="64"/>
      </left>
      <right style="thin">
        <color theme="4" tint="0.39997558519241921"/>
      </right>
      <top style="thin">
        <color indexed="64"/>
      </top>
      <bottom style="thin">
        <color indexed="64"/>
      </bottom>
      <diagonal/>
    </border>
    <border>
      <left style="thin">
        <color theme="4" tint="0.39997558519241921"/>
      </left>
      <right style="thin">
        <color theme="1"/>
      </right>
      <top style="thin">
        <color theme="4" tint="0.39997558519241921"/>
      </top>
      <bottom style="thin">
        <color theme="1"/>
      </bottom>
      <diagonal/>
    </border>
    <border>
      <left style="thin">
        <color theme="1"/>
      </left>
      <right style="thin">
        <color theme="1"/>
      </right>
      <top style="thin">
        <color theme="4" tint="0.39997558519241921"/>
      </top>
      <bottom style="thin">
        <color theme="1"/>
      </bottom>
      <diagonal/>
    </border>
    <border>
      <left style="thin">
        <color theme="1"/>
      </left>
      <right style="thin">
        <color theme="4" tint="0.39997558519241921"/>
      </right>
      <top style="thin">
        <color theme="4" tint="0.39997558519241921"/>
      </top>
      <bottom style="thin">
        <color theme="1"/>
      </bottom>
      <diagonal/>
    </border>
    <border>
      <left style="thin">
        <color theme="1"/>
      </left>
      <right style="thin">
        <color theme="4" tint="0.39997558519241921"/>
      </right>
      <top style="thin">
        <color theme="1"/>
      </top>
      <bottom style="thin">
        <color theme="1"/>
      </bottom>
      <diagonal/>
    </border>
  </borders>
  <cellStyleXfs count="1">
    <xf numFmtId="0" fontId="0" fillId="0" borderId="0"/>
  </cellStyleXfs>
  <cellXfs count="52">
    <xf numFmtId="0" fontId="0" fillId="0" borderId="0" xfId="0"/>
    <xf numFmtId="0" fontId="0" fillId="0" borderId="1" xfId="0" applyBorder="1"/>
    <xf numFmtId="49" fontId="0" fillId="0" borderId="1" xfId="0" applyNumberFormat="1" applyBorder="1"/>
    <xf numFmtId="14" fontId="0" fillId="0" borderId="2" xfId="0" applyNumberFormat="1" applyBorder="1"/>
    <xf numFmtId="0" fontId="0" fillId="0" borderId="3" xfId="0" applyBorder="1"/>
    <xf numFmtId="14" fontId="1" fillId="2" borderId="4" xfId="0" applyNumberFormat="1"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14" fontId="0" fillId="0" borderId="7" xfId="0" applyNumberFormat="1" applyBorder="1"/>
    <xf numFmtId="49" fontId="0" fillId="0" borderId="8" xfId="0" applyNumberFormat="1" applyBorder="1"/>
    <xf numFmtId="0" fontId="0" fillId="0" borderId="8" xfId="0" applyBorder="1"/>
    <xf numFmtId="0" fontId="0" fillId="0" borderId="9" xfId="0" applyBorder="1"/>
    <xf numFmtId="164" fontId="1" fillId="2" borderId="5" xfId="0" applyNumberFormat="1" applyFont="1" applyFill="1" applyBorder="1" applyAlignment="1">
      <alignment horizontal="center"/>
    </xf>
    <xf numFmtId="164" fontId="0" fillId="0" borderId="1" xfId="0" applyNumberFormat="1" applyBorder="1"/>
    <xf numFmtId="164" fontId="0" fillId="0" borderId="8" xfId="0" applyNumberFormat="1" applyBorder="1"/>
    <xf numFmtId="2" fontId="1" fillId="2" borderId="5" xfId="0" applyNumberFormat="1" applyFont="1" applyFill="1" applyBorder="1" applyAlignment="1">
      <alignment horizontal="center"/>
    </xf>
    <xf numFmtId="2" fontId="1" fillId="2" borderId="6" xfId="0" applyNumberFormat="1" applyFont="1" applyFill="1" applyBorder="1" applyAlignment="1">
      <alignment horizontal="center"/>
    </xf>
    <xf numFmtId="1" fontId="0" fillId="0" borderId="1" xfId="0" applyNumberFormat="1" applyBorder="1"/>
    <xf numFmtId="1" fontId="0" fillId="0" borderId="3" xfId="0" applyNumberFormat="1" applyBorder="1"/>
    <xf numFmtId="164" fontId="0" fillId="0" borderId="0" xfId="0" applyNumberFormat="1"/>
    <xf numFmtId="0" fontId="0" fillId="0" borderId="1" xfId="0" pivotButton="1" applyBorder="1"/>
    <xf numFmtId="0" fontId="0" fillId="0" borderId="10" xfId="0" applyBorder="1"/>
    <xf numFmtId="0" fontId="0" fillId="0" borderId="11" xfId="0" applyBorder="1"/>
    <xf numFmtId="164" fontId="0" fillId="0" borderId="11" xfId="0" applyNumberFormat="1" applyBorder="1"/>
    <xf numFmtId="0" fontId="0" fillId="0" borderId="0" xfId="0" applyAlignment="1">
      <alignment horizontal="center"/>
    </xf>
    <xf numFmtId="0" fontId="0" fillId="0" borderId="15" xfId="0" pivotButton="1" applyBorder="1"/>
    <xf numFmtId="0" fontId="0" fillId="0" borderId="16" xfId="0" applyBorder="1"/>
    <xf numFmtId="0" fontId="0" fillId="0" borderId="15" xfId="0" applyBorder="1" applyAlignment="1">
      <alignment horizontal="left"/>
    </xf>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pivotButton="1" applyBorder="1"/>
    <xf numFmtId="0" fontId="0" fillId="0" borderId="21"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164" fontId="0" fillId="0" borderId="19" xfId="0" applyNumberFormat="1" applyBorder="1"/>
    <xf numFmtId="0" fontId="0" fillId="0" borderId="0" xfId="0" applyAlignment="1">
      <alignment horizontal="left"/>
    </xf>
    <xf numFmtId="0" fontId="0" fillId="0" borderId="25" xfId="0" applyBorder="1"/>
    <xf numFmtId="164" fontId="0" fillId="0" borderId="25" xfId="0" applyNumberFormat="1" applyBorder="1"/>
    <xf numFmtId="0" fontId="0" fillId="0" borderId="29" xfId="0" applyBorder="1"/>
    <xf numFmtId="0" fontId="5" fillId="3" borderId="12" xfId="0" applyFont="1" applyFill="1" applyBorder="1" applyAlignment="1">
      <alignment horizontal="center"/>
    </xf>
    <xf numFmtId="0" fontId="5" fillId="3" borderId="13" xfId="0" applyFont="1" applyFill="1" applyBorder="1" applyAlignment="1">
      <alignment horizontal="center"/>
    </xf>
    <xf numFmtId="0" fontId="5" fillId="3" borderId="14" xfId="0" applyFont="1" applyFill="1" applyBorder="1" applyAlignment="1">
      <alignment horizontal="center"/>
    </xf>
    <xf numFmtId="0" fontId="4" fillId="3" borderId="26" xfId="0" applyFont="1" applyFill="1" applyBorder="1" applyAlignment="1">
      <alignment horizontal="center"/>
    </xf>
    <xf numFmtId="0" fontId="4" fillId="3" borderId="27" xfId="0" applyFont="1" applyFill="1" applyBorder="1" applyAlignment="1">
      <alignment horizontal="center"/>
    </xf>
    <xf numFmtId="0" fontId="4" fillId="3" borderId="28" xfId="0" applyFont="1" applyFill="1" applyBorder="1" applyAlignment="1">
      <alignment horizontal="center"/>
    </xf>
    <xf numFmtId="0" fontId="2" fillId="4" borderId="0" xfId="0" applyFont="1" applyFill="1" applyAlignment="1">
      <alignment horizontal="center" vertical="center"/>
    </xf>
    <xf numFmtId="0" fontId="0" fillId="2" borderId="0" xfId="0" applyFill="1" applyAlignment="1">
      <alignment horizontal="center"/>
    </xf>
    <xf numFmtId="0" fontId="3" fillId="3" borderId="22" xfId="0" applyFont="1" applyFill="1" applyBorder="1" applyAlignment="1">
      <alignment horizontal="center"/>
    </xf>
    <xf numFmtId="0" fontId="3" fillId="3" borderId="23" xfId="0" applyFont="1" applyFill="1" applyBorder="1" applyAlignment="1">
      <alignment horizontal="center"/>
    </xf>
    <xf numFmtId="0" fontId="3" fillId="3" borderId="24" xfId="0" applyFont="1" applyFill="1" applyBorder="1" applyAlignment="1">
      <alignment horizontal="center"/>
    </xf>
  </cellXfs>
  <cellStyles count="1">
    <cellStyle name="Normal" xfId="0" builtinId="0"/>
  </cellStyles>
  <dxfs count="61">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numFmt numFmtId="30" formatCode="@"/>
      <border diagonalUp="0" diagonalDown="0" outline="0">
        <left style="thin">
          <color indexed="64"/>
        </left>
        <right style="thin">
          <color indexed="64"/>
        </right>
        <top style="thin">
          <color indexed="64"/>
        </top>
        <bottom style="thin">
          <color indexed="64"/>
        </bottom>
      </border>
    </dxf>
    <dxf>
      <numFmt numFmtId="30" formatCode="@"/>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numFmt numFmtId="30" formatCode="@"/>
      <border diagonalUp="0" diagonalDown="0" outline="0">
        <left style="thin">
          <color indexed="64"/>
        </left>
        <right style="thin">
          <color indexed="64"/>
        </right>
        <top style="thin">
          <color indexed="64"/>
        </top>
        <bottom style="thin">
          <color indexed="64"/>
        </bottom>
      </border>
    </dxf>
    <dxf>
      <numFmt numFmtId="30" formatCode="@"/>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top style="thin">
          <color indexed="64"/>
        </top>
        <bottom style="thin">
          <color indexed="64"/>
        </bottom>
      </border>
    </dxf>
    <dxf>
      <numFmt numFmtId="164" formatCode="&quot;₹&quot;\ #,##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30" formatCode="@"/>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
      <border>
        <left style="thin">
          <color theme="4" tint="0.39997558519241921"/>
        </left>
        <right style="thin">
          <color theme="4" tint="0.39997558519241921"/>
        </right>
        <top style="thin">
          <color theme="4" tint="0.39997558519241921"/>
        </top>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data.xlsx]analysis!PivotTable1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tx1"/>
                </a:solidFill>
              </a:rPr>
              <a:t>Total</a:t>
            </a:r>
            <a:r>
              <a:rPr lang="en-US" sz="1100" baseline="0">
                <a:solidFill>
                  <a:schemeClr val="tx1"/>
                </a:solidFill>
              </a:rPr>
              <a:t> Sales by Region</a:t>
            </a:r>
            <a:endParaRPr lang="en-US" sz="11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analysis!$E$5</c:f>
              <c:strCache>
                <c:ptCount val="1"/>
                <c:pt idx="0">
                  <c:v>Total</c:v>
                </c:pt>
              </c:strCache>
            </c:strRef>
          </c:tx>
          <c:spPr>
            <a:solidFill>
              <a:schemeClr val="accent1"/>
            </a:solidFill>
            <a:ln>
              <a:noFill/>
            </a:ln>
            <a:effectLst/>
          </c:spPr>
          <c:invertIfNegative val="0"/>
          <c:cat>
            <c:strRef>
              <c:f>analysis!$D$6:$D$10</c:f>
              <c:strCache>
                <c:ptCount val="4"/>
                <c:pt idx="0">
                  <c:v>North</c:v>
                </c:pt>
                <c:pt idx="1">
                  <c:v>South</c:v>
                </c:pt>
                <c:pt idx="2">
                  <c:v>East</c:v>
                </c:pt>
                <c:pt idx="3">
                  <c:v>West</c:v>
                </c:pt>
              </c:strCache>
            </c:strRef>
          </c:cat>
          <c:val>
            <c:numRef>
              <c:f>analysis!$E$6:$E$10</c:f>
              <c:numCache>
                <c:formatCode>"₹"\ #,##0</c:formatCode>
                <c:ptCount val="4"/>
                <c:pt idx="0">
                  <c:v>3010</c:v>
                </c:pt>
                <c:pt idx="1">
                  <c:v>2550</c:v>
                </c:pt>
                <c:pt idx="2">
                  <c:v>2460</c:v>
                </c:pt>
                <c:pt idx="3">
                  <c:v>1770</c:v>
                </c:pt>
              </c:numCache>
            </c:numRef>
          </c:val>
          <c:extLst>
            <c:ext xmlns:c16="http://schemas.microsoft.com/office/drawing/2014/chart" uri="{C3380CC4-5D6E-409C-BE32-E72D297353CC}">
              <c16:uniqueId val="{00000000-45B9-4F9C-BFC3-C1197789504D}"/>
            </c:ext>
          </c:extLst>
        </c:ser>
        <c:dLbls>
          <c:showLegendKey val="0"/>
          <c:showVal val="0"/>
          <c:showCatName val="0"/>
          <c:showSerName val="0"/>
          <c:showPercent val="0"/>
          <c:showBubbleSize val="0"/>
        </c:dLbls>
        <c:gapWidth val="219"/>
        <c:overlap val="-27"/>
        <c:axId val="1672041999"/>
        <c:axId val="1672065519"/>
      </c:barChart>
      <c:catAx>
        <c:axId val="167204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065519"/>
        <c:crosses val="autoZero"/>
        <c:auto val="1"/>
        <c:lblAlgn val="ctr"/>
        <c:lblOffset val="100"/>
        <c:noMultiLvlLbl val="0"/>
      </c:catAx>
      <c:valAx>
        <c:axId val="1672065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rPr>
                  <a:t>Total</a:t>
                </a:r>
                <a:r>
                  <a:rPr lang="en-IN" baseline="0">
                    <a:solidFill>
                      <a:schemeClr val="tx1"/>
                    </a:solidFill>
                  </a:rPr>
                  <a:t> sales</a:t>
                </a:r>
                <a:endParaRPr lang="en-I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04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data.xlsx]analysis!PivotTable8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0">
                <a:solidFill>
                  <a:schemeClr val="tx1"/>
                </a:solidFill>
              </a:rPr>
              <a:t>Total 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analysis!$K$5</c:f>
              <c:strCache>
                <c:ptCount val="1"/>
                <c:pt idx="0">
                  <c:v>Total</c:v>
                </c:pt>
              </c:strCache>
            </c:strRef>
          </c:tx>
          <c:spPr>
            <a:solidFill>
              <a:schemeClr val="accent1"/>
            </a:solidFill>
            <a:ln>
              <a:noFill/>
            </a:ln>
            <a:effectLst/>
          </c:spPr>
          <c:invertIfNegative val="0"/>
          <c:cat>
            <c:strRef>
              <c:f>analysis!$J$6:$J$9</c:f>
              <c:strCache>
                <c:ptCount val="3"/>
                <c:pt idx="0">
                  <c:v>Product C</c:v>
                </c:pt>
                <c:pt idx="1">
                  <c:v>Product B</c:v>
                </c:pt>
                <c:pt idx="2">
                  <c:v>Product A</c:v>
                </c:pt>
              </c:strCache>
            </c:strRef>
          </c:cat>
          <c:val>
            <c:numRef>
              <c:f>analysis!$K$6:$K$9</c:f>
              <c:numCache>
                <c:formatCode>"₹"\ #,##0</c:formatCode>
                <c:ptCount val="3"/>
                <c:pt idx="0">
                  <c:v>3700</c:v>
                </c:pt>
                <c:pt idx="1">
                  <c:v>3390</c:v>
                </c:pt>
                <c:pt idx="2">
                  <c:v>2700</c:v>
                </c:pt>
              </c:numCache>
            </c:numRef>
          </c:val>
          <c:extLst>
            <c:ext xmlns:c16="http://schemas.microsoft.com/office/drawing/2014/chart" uri="{C3380CC4-5D6E-409C-BE32-E72D297353CC}">
              <c16:uniqueId val="{00000000-7F64-496F-9533-9EDAC9D52227}"/>
            </c:ext>
          </c:extLst>
        </c:ser>
        <c:dLbls>
          <c:showLegendKey val="0"/>
          <c:showVal val="0"/>
          <c:showCatName val="0"/>
          <c:showSerName val="0"/>
          <c:showPercent val="0"/>
          <c:showBubbleSize val="0"/>
        </c:dLbls>
        <c:gapWidth val="182"/>
        <c:axId val="1574188127"/>
        <c:axId val="1574185727"/>
      </c:barChart>
      <c:catAx>
        <c:axId val="1574188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85727"/>
        <c:crosses val="autoZero"/>
        <c:auto val="1"/>
        <c:lblAlgn val="ctr"/>
        <c:lblOffset val="100"/>
        <c:noMultiLvlLbl val="0"/>
      </c:catAx>
      <c:valAx>
        <c:axId val="157418572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8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data.xlsx]analysis!PivotTable4</c:name>
    <c:fmtId val="0"/>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IN" sz="1200">
                <a:solidFill>
                  <a:schemeClr val="tx1"/>
                </a:solidFill>
              </a:rPr>
              <a:t>Total</a:t>
            </a:r>
            <a:r>
              <a:rPr lang="en-IN" sz="1200" baseline="0">
                <a:solidFill>
                  <a:schemeClr val="tx1"/>
                </a:solidFill>
              </a:rPr>
              <a:t> Sales by Region and Product</a:t>
            </a:r>
            <a:endParaRPr lang="en-IN" sz="1200">
              <a:solidFill>
                <a:schemeClr val="tx1"/>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analysis!$E$15:$E$16</c:f>
              <c:strCache>
                <c:ptCount val="1"/>
                <c:pt idx="0">
                  <c:v>Product A</c:v>
                </c:pt>
              </c:strCache>
            </c:strRef>
          </c:tx>
          <c:spPr>
            <a:solidFill>
              <a:schemeClr val="accent1"/>
            </a:solidFill>
            <a:ln>
              <a:noFill/>
            </a:ln>
            <a:effectLst/>
          </c:spPr>
          <c:invertIfNegative val="0"/>
          <c:cat>
            <c:strRef>
              <c:f>analysis!$D$17:$D$21</c:f>
              <c:strCache>
                <c:ptCount val="4"/>
                <c:pt idx="0">
                  <c:v>East</c:v>
                </c:pt>
                <c:pt idx="1">
                  <c:v>North</c:v>
                </c:pt>
                <c:pt idx="2">
                  <c:v>South</c:v>
                </c:pt>
                <c:pt idx="3">
                  <c:v>West</c:v>
                </c:pt>
              </c:strCache>
            </c:strRef>
          </c:cat>
          <c:val>
            <c:numRef>
              <c:f>analysis!$E$17:$E$21</c:f>
              <c:numCache>
                <c:formatCode>"₹"\ #,##0</c:formatCode>
                <c:ptCount val="4"/>
                <c:pt idx="0">
                  <c:v>760</c:v>
                </c:pt>
                <c:pt idx="1">
                  <c:v>740</c:v>
                </c:pt>
                <c:pt idx="2">
                  <c:v>460</c:v>
                </c:pt>
                <c:pt idx="3">
                  <c:v>740</c:v>
                </c:pt>
              </c:numCache>
            </c:numRef>
          </c:val>
          <c:extLst>
            <c:ext xmlns:c16="http://schemas.microsoft.com/office/drawing/2014/chart" uri="{C3380CC4-5D6E-409C-BE32-E72D297353CC}">
              <c16:uniqueId val="{00000000-0D13-44A9-821A-8ABF5FE82EDD}"/>
            </c:ext>
          </c:extLst>
        </c:ser>
        <c:ser>
          <c:idx val="1"/>
          <c:order val="1"/>
          <c:tx>
            <c:strRef>
              <c:f>analysis!$F$15:$F$16</c:f>
              <c:strCache>
                <c:ptCount val="1"/>
                <c:pt idx="0">
                  <c:v>Product B</c:v>
                </c:pt>
              </c:strCache>
            </c:strRef>
          </c:tx>
          <c:spPr>
            <a:solidFill>
              <a:schemeClr val="accent2"/>
            </a:solidFill>
            <a:ln>
              <a:noFill/>
            </a:ln>
            <a:effectLst/>
          </c:spPr>
          <c:invertIfNegative val="0"/>
          <c:cat>
            <c:strRef>
              <c:f>analysis!$D$17:$D$21</c:f>
              <c:strCache>
                <c:ptCount val="4"/>
                <c:pt idx="0">
                  <c:v>East</c:v>
                </c:pt>
                <c:pt idx="1">
                  <c:v>North</c:v>
                </c:pt>
                <c:pt idx="2">
                  <c:v>South</c:v>
                </c:pt>
                <c:pt idx="3">
                  <c:v>West</c:v>
                </c:pt>
              </c:strCache>
            </c:strRef>
          </c:cat>
          <c:val>
            <c:numRef>
              <c:f>analysis!$F$17:$F$21</c:f>
              <c:numCache>
                <c:formatCode>"₹"\ #,##0</c:formatCode>
                <c:ptCount val="4"/>
                <c:pt idx="0">
                  <c:v>750</c:v>
                </c:pt>
                <c:pt idx="1">
                  <c:v>1320</c:v>
                </c:pt>
                <c:pt idx="2">
                  <c:v>840</c:v>
                </c:pt>
                <c:pt idx="3">
                  <c:v>480</c:v>
                </c:pt>
              </c:numCache>
            </c:numRef>
          </c:val>
          <c:extLst>
            <c:ext xmlns:c16="http://schemas.microsoft.com/office/drawing/2014/chart" uri="{C3380CC4-5D6E-409C-BE32-E72D297353CC}">
              <c16:uniqueId val="{00000001-0D13-44A9-821A-8ABF5FE82EDD}"/>
            </c:ext>
          </c:extLst>
        </c:ser>
        <c:ser>
          <c:idx val="2"/>
          <c:order val="2"/>
          <c:tx>
            <c:strRef>
              <c:f>analysis!$G$15:$G$16</c:f>
              <c:strCache>
                <c:ptCount val="1"/>
                <c:pt idx="0">
                  <c:v>Product C</c:v>
                </c:pt>
              </c:strCache>
            </c:strRef>
          </c:tx>
          <c:spPr>
            <a:solidFill>
              <a:schemeClr val="accent3"/>
            </a:solidFill>
            <a:ln>
              <a:noFill/>
            </a:ln>
            <a:effectLst/>
          </c:spPr>
          <c:invertIfNegative val="0"/>
          <c:cat>
            <c:strRef>
              <c:f>analysis!$D$17:$D$21</c:f>
              <c:strCache>
                <c:ptCount val="4"/>
                <c:pt idx="0">
                  <c:v>East</c:v>
                </c:pt>
                <c:pt idx="1">
                  <c:v>North</c:v>
                </c:pt>
                <c:pt idx="2">
                  <c:v>South</c:v>
                </c:pt>
                <c:pt idx="3">
                  <c:v>West</c:v>
                </c:pt>
              </c:strCache>
            </c:strRef>
          </c:cat>
          <c:val>
            <c:numRef>
              <c:f>analysis!$G$17:$G$21</c:f>
              <c:numCache>
                <c:formatCode>"₹"\ #,##0</c:formatCode>
                <c:ptCount val="4"/>
                <c:pt idx="0">
                  <c:v>950</c:v>
                </c:pt>
                <c:pt idx="1">
                  <c:v>950</c:v>
                </c:pt>
                <c:pt idx="2">
                  <c:v>1250</c:v>
                </c:pt>
                <c:pt idx="3">
                  <c:v>550</c:v>
                </c:pt>
              </c:numCache>
            </c:numRef>
          </c:val>
          <c:extLst>
            <c:ext xmlns:c16="http://schemas.microsoft.com/office/drawing/2014/chart" uri="{C3380CC4-5D6E-409C-BE32-E72D297353CC}">
              <c16:uniqueId val="{00000002-0D13-44A9-821A-8ABF5FE82EDD}"/>
            </c:ext>
          </c:extLst>
        </c:ser>
        <c:dLbls>
          <c:showLegendKey val="0"/>
          <c:showVal val="0"/>
          <c:showCatName val="0"/>
          <c:showSerName val="0"/>
          <c:showPercent val="0"/>
          <c:showBubbleSize val="0"/>
        </c:dLbls>
        <c:gapWidth val="219"/>
        <c:overlap val="-27"/>
        <c:axId val="1344060351"/>
        <c:axId val="1344063231"/>
      </c:barChart>
      <c:catAx>
        <c:axId val="134406035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063231"/>
        <c:crosses val="autoZero"/>
        <c:auto val="1"/>
        <c:lblAlgn val="ctr"/>
        <c:lblOffset val="100"/>
        <c:noMultiLvlLbl val="0"/>
      </c:catAx>
      <c:valAx>
        <c:axId val="1344063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total</a:t>
                </a:r>
                <a:r>
                  <a:rPr lang="en-IN" baseline="0">
                    <a:solidFill>
                      <a:schemeClr val="tx1"/>
                    </a:solidFill>
                  </a:rPr>
                  <a:t> sales</a:t>
                </a:r>
                <a:endParaRPr lang="en-I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060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data.xlsx]analysis!PivotTable9</c:name>
    <c:fmtId val="0"/>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Monthly</a:t>
            </a:r>
            <a:r>
              <a:rPr lang="en-US" sz="1200" b="1" baseline="0">
                <a:solidFill>
                  <a:schemeClr val="tx1"/>
                </a:solidFill>
              </a:rPr>
              <a:t> Sales Trend</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analysis!$K$15</c:f>
              <c:strCache>
                <c:ptCount val="1"/>
                <c:pt idx="0">
                  <c:v>Total</c:v>
                </c:pt>
              </c:strCache>
            </c:strRef>
          </c:tx>
          <c:spPr>
            <a:ln w="28575" cap="rnd">
              <a:solidFill>
                <a:schemeClr val="accent1"/>
              </a:solidFill>
              <a:round/>
            </a:ln>
            <a:effectLst/>
          </c:spPr>
          <c:marker>
            <c:symbol val="none"/>
          </c:marker>
          <c:cat>
            <c:strRef>
              <c:f>analysis!$J$16:$J$22</c:f>
              <c:strCache>
                <c:ptCount val="6"/>
                <c:pt idx="0">
                  <c:v>Jan</c:v>
                </c:pt>
                <c:pt idx="1">
                  <c:v>Feb</c:v>
                </c:pt>
                <c:pt idx="2">
                  <c:v>Mar</c:v>
                </c:pt>
                <c:pt idx="3">
                  <c:v>Oct</c:v>
                </c:pt>
                <c:pt idx="4">
                  <c:v>Nov</c:v>
                </c:pt>
                <c:pt idx="5">
                  <c:v>Dec</c:v>
                </c:pt>
              </c:strCache>
            </c:strRef>
          </c:cat>
          <c:val>
            <c:numRef>
              <c:f>analysis!$K$16:$K$22</c:f>
              <c:numCache>
                <c:formatCode>"₹"\ #,##0</c:formatCode>
                <c:ptCount val="6"/>
                <c:pt idx="0">
                  <c:v>2800</c:v>
                </c:pt>
                <c:pt idx="1">
                  <c:v>1760</c:v>
                </c:pt>
                <c:pt idx="2">
                  <c:v>790</c:v>
                </c:pt>
                <c:pt idx="3">
                  <c:v>690</c:v>
                </c:pt>
                <c:pt idx="4">
                  <c:v>2250</c:v>
                </c:pt>
                <c:pt idx="5">
                  <c:v>1500</c:v>
                </c:pt>
              </c:numCache>
            </c:numRef>
          </c:val>
          <c:smooth val="0"/>
          <c:extLst>
            <c:ext xmlns:c16="http://schemas.microsoft.com/office/drawing/2014/chart" uri="{C3380CC4-5D6E-409C-BE32-E72D297353CC}">
              <c16:uniqueId val="{00000000-F9A6-493A-A4BF-1F1F0F0DFEE8}"/>
            </c:ext>
          </c:extLst>
        </c:ser>
        <c:dLbls>
          <c:showLegendKey val="0"/>
          <c:showVal val="0"/>
          <c:showCatName val="0"/>
          <c:showSerName val="0"/>
          <c:showPercent val="0"/>
          <c:showBubbleSize val="0"/>
        </c:dLbls>
        <c:smooth val="0"/>
        <c:axId val="2002440223"/>
        <c:axId val="2002457023"/>
      </c:lineChart>
      <c:catAx>
        <c:axId val="200244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457023"/>
        <c:crosses val="autoZero"/>
        <c:auto val="1"/>
        <c:lblAlgn val="ctr"/>
        <c:lblOffset val="100"/>
        <c:noMultiLvlLbl val="0"/>
      </c:catAx>
      <c:valAx>
        <c:axId val="2002457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44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7620</xdr:colOff>
      <xdr:row>4</xdr:row>
      <xdr:rowOff>8467</xdr:rowOff>
    </xdr:from>
    <xdr:to>
      <xdr:col>8</xdr:col>
      <xdr:colOff>29882</xdr:colOff>
      <xdr:row>11</xdr:row>
      <xdr:rowOff>114300</xdr:rowOff>
    </xdr:to>
    <xdr:graphicFrame macro="">
      <xdr:nvGraphicFramePr>
        <xdr:cNvPr id="2" name="Chart 1">
          <a:extLst>
            <a:ext uri="{FF2B5EF4-FFF2-40B4-BE49-F238E27FC236}">
              <a16:creationId xmlns:a16="http://schemas.microsoft.com/office/drawing/2014/main" id="{349BE692-6596-38E0-7F40-824B8097E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40105</xdr:colOff>
      <xdr:row>4</xdr:row>
      <xdr:rowOff>25399</xdr:rowOff>
    </xdr:from>
    <xdr:to>
      <xdr:col>16</xdr:col>
      <xdr:colOff>547352</xdr:colOff>
      <xdr:row>11</xdr:row>
      <xdr:rowOff>160985</xdr:rowOff>
    </xdr:to>
    <xdr:graphicFrame macro="">
      <xdr:nvGraphicFramePr>
        <xdr:cNvPr id="4" name="Chart 3">
          <a:extLst>
            <a:ext uri="{FF2B5EF4-FFF2-40B4-BE49-F238E27FC236}">
              <a16:creationId xmlns:a16="http://schemas.microsoft.com/office/drawing/2014/main" id="{02D09A63-3878-7164-1CD5-5EA19C4BA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21</xdr:row>
      <xdr:rowOff>66540</xdr:rowOff>
    </xdr:from>
    <xdr:to>
      <xdr:col>8</xdr:col>
      <xdr:colOff>16213</xdr:colOff>
      <xdr:row>34</xdr:row>
      <xdr:rowOff>0</xdr:rowOff>
    </xdr:to>
    <xdr:graphicFrame macro="">
      <xdr:nvGraphicFramePr>
        <xdr:cNvPr id="5" name="Chart 4">
          <a:extLst>
            <a:ext uri="{FF2B5EF4-FFF2-40B4-BE49-F238E27FC236}">
              <a16:creationId xmlns:a16="http://schemas.microsoft.com/office/drawing/2014/main" id="{AF13CE71-0903-2F3F-BAF0-672CF637E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40530</xdr:colOff>
      <xdr:row>14</xdr:row>
      <xdr:rowOff>24318</xdr:rowOff>
    </xdr:from>
    <xdr:to>
      <xdr:col>17</xdr:col>
      <xdr:colOff>8105</xdr:colOff>
      <xdr:row>29</xdr:row>
      <xdr:rowOff>119349</xdr:rowOff>
    </xdr:to>
    <xdr:graphicFrame macro="">
      <xdr:nvGraphicFramePr>
        <xdr:cNvPr id="6" name="Chart 5">
          <a:extLst>
            <a:ext uri="{FF2B5EF4-FFF2-40B4-BE49-F238E27FC236}">
              <a16:creationId xmlns:a16="http://schemas.microsoft.com/office/drawing/2014/main" id="{AD5517E4-7264-C0E1-2333-F2DA68DE0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xdr:colOff>
      <xdr:row>13</xdr:row>
      <xdr:rowOff>286977</xdr:rowOff>
    </xdr:from>
    <xdr:to>
      <xdr:col>2</xdr:col>
      <xdr:colOff>488831</xdr:colOff>
      <xdr:row>20</xdr:row>
      <xdr:rowOff>231212</xdr:rowOff>
    </xdr:to>
    <mc:AlternateContent xmlns:mc="http://schemas.openxmlformats.org/markup-compatibility/2006" xmlns:a14="http://schemas.microsoft.com/office/drawing/2010/main">
      <mc:Choice Requires="a14">
        <xdr:graphicFrame macro="">
          <xdr:nvGraphicFramePr>
            <xdr:cNvPr id="8" name="  Region ">
              <a:extLst>
                <a:ext uri="{FF2B5EF4-FFF2-40B4-BE49-F238E27FC236}">
                  <a16:creationId xmlns:a16="http://schemas.microsoft.com/office/drawing/2014/main" id="{A69BC861-1B74-F52B-DFB3-717B35DB493E}"/>
                </a:ext>
              </a:extLst>
            </xdr:cNvPr>
            <xdr:cNvGraphicFramePr/>
          </xdr:nvGraphicFramePr>
          <xdr:xfrm>
            <a:off x="0" y="0"/>
            <a:ext cx="0" cy="0"/>
          </xdr:xfrm>
          <a:graphic>
            <a:graphicData uri="http://schemas.microsoft.com/office/drawing/2010/slicer">
              <sle:slicer xmlns:sle="http://schemas.microsoft.com/office/drawing/2010/slicer" name="  Region "/>
            </a:graphicData>
          </a:graphic>
        </xdr:graphicFrame>
      </mc:Choice>
      <mc:Fallback xmlns="">
        <xdr:sp macro="" textlink="">
          <xdr:nvSpPr>
            <xdr:cNvPr id="0" name=""/>
            <xdr:cNvSpPr>
              <a:spLocks noTextEdit="1"/>
            </xdr:cNvSpPr>
          </xdr:nvSpPr>
          <xdr:spPr>
            <a:xfrm>
              <a:off x="1" y="4390054"/>
              <a:ext cx="1700215" cy="1995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241747</xdr:rowOff>
    </xdr:from>
    <xdr:to>
      <xdr:col>2</xdr:col>
      <xdr:colOff>431321</xdr:colOff>
      <xdr:row>9</xdr:row>
      <xdr:rowOff>231850</xdr:rowOff>
    </xdr:to>
    <mc:AlternateContent xmlns:mc="http://schemas.openxmlformats.org/markup-compatibility/2006" xmlns:a14="http://schemas.microsoft.com/office/drawing/2010/main">
      <mc:Choice Requires="a14">
        <xdr:graphicFrame macro="">
          <xdr:nvGraphicFramePr>
            <xdr:cNvPr id="10" name=" Product ">
              <a:extLst>
                <a:ext uri="{FF2B5EF4-FFF2-40B4-BE49-F238E27FC236}">
                  <a16:creationId xmlns:a16="http://schemas.microsoft.com/office/drawing/2014/main" id="{96A78117-586C-29C4-DFE2-C82919BC8447}"/>
                </a:ext>
              </a:extLst>
            </xdr:cNvPr>
            <xdr:cNvGraphicFramePr/>
          </xdr:nvGraphicFramePr>
          <xdr:xfrm>
            <a:off x="0" y="0"/>
            <a:ext cx="0" cy="0"/>
          </xdr:xfrm>
          <a:graphic>
            <a:graphicData uri="http://schemas.microsoft.com/office/drawing/2010/slicer">
              <sle:slicer xmlns:sle="http://schemas.microsoft.com/office/drawing/2010/slicer" name=" Product "/>
            </a:graphicData>
          </a:graphic>
        </xdr:graphicFrame>
      </mc:Choice>
      <mc:Fallback xmlns="">
        <xdr:sp macro="" textlink="">
          <xdr:nvSpPr>
            <xdr:cNvPr id="0" name=""/>
            <xdr:cNvSpPr>
              <a:spLocks noTextEdit="1"/>
            </xdr:cNvSpPr>
          </xdr:nvSpPr>
          <xdr:spPr>
            <a:xfrm>
              <a:off x="0" y="2060715"/>
              <a:ext cx="1726664" cy="1464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326571</xdr:colOff>
      <xdr:row>1</xdr:row>
      <xdr:rowOff>395844</xdr:rowOff>
    </xdr:from>
    <xdr:to>
      <xdr:col>4</xdr:col>
      <xdr:colOff>1108363</xdr:colOff>
      <xdr:row>1</xdr:row>
      <xdr:rowOff>999506</xdr:rowOff>
    </xdr:to>
    <xdr:sp macro="" textlink="">
      <xdr:nvSpPr>
        <xdr:cNvPr id="11" name="Rectangle: Rounded Corners 10">
          <a:extLst>
            <a:ext uri="{FF2B5EF4-FFF2-40B4-BE49-F238E27FC236}">
              <a16:creationId xmlns:a16="http://schemas.microsoft.com/office/drawing/2014/main" id="{1BA04793-1900-7CD4-7478-67DA4B7946AC}"/>
            </a:ext>
          </a:extLst>
        </xdr:cNvPr>
        <xdr:cNvSpPr/>
      </xdr:nvSpPr>
      <xdr:spPr>
        <a:xfrm>
          <a:off x="326571" y="821376"/>
          <a:ext cx="2780805" cy="60366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xdr:col>
      <xdr:colOff>548435</xdr:colOff>
      <xdr:row>1</xdr:row>
      <xdr:rowOff>455221</xdr:rowOff>
    </xdr:from>
    <xdr:to>
      <xdr:col>3</xdr:col>
      <xdr:colOff>647</xdr:colOff>
      <xdr:row>1</xdr:row>
      <xdr:rowOff>989610</xdr:rowOff>
    </xdr:to>
    <xdr:pic>
      <xdr:nvPicPr>
        <xdr:cNvPr id="13" name="Graphic 12" descr="Bar graph with upward trend with solid fill">
          <a:extLst>
            <a:ext uri="{FF2B5EF4-FFF2-40B4-BE49-F238E27FC236}">
              <a16:creationId xmlns:a16="http://schemas.microsoft.com/office/drawing/2014/main" id="{D08B156F-3FC9-490B-168D-46204B5FFA4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62951" y="885382"/>
          <a:ext cx="668307" cy="534389"/>
        </a:xfrm>
        <a:prstGeom prst="rect">
          <a:avLst/>
        </a:prstGeom>
      </xdr:spPr>
    </xdr:pic>
    <xdr:clientData/>
  </xdr:twoCellAnchor>
  <xdr:twoCellAnchor>
    <xdr:from>
      <xdr:col>2</xdr:col>
      <xdr:colOff>306778</xdr:colOff>
      <xdr:row>1</xdr:row>
      <xdr:rowOff>405740</xdr:rowOff>
    </xdr:from>
    <xdr:to>
      <xdr:col>4</xdr:col>
      <xdr:colOff>1009402</xdr:colOff>
      <xdr:row>1</xdr:row>
      <xdr:rowOff>742208</xdr:rowOff>
    </xdr:to>
    <xdr:sp macro="" textlink="">
      <xdr:nvSpPr>
        <xdr:cNvPr id="14" name="TextBox 13">
          <a:extLst>
            <a:ext uri="{FF2B5EF4-FFF2-40B4-BE49-F238E27FC236}">
              <a16:creationId xmlns:a16="http://schemas.microsoft.com/office/drawing/2014/main" id="{79E9087B-6D13-7EB9-4E52-B34D04EF81CD}"/>
            </a:ext>
          </a:extLst>
        </xdr:cNvPr>
        <xdr:cNvSpPr txBox="1"/>
      </xdr:nvSpPr>
      <xdr:spPr>
        <a:xfrm>
          <a:off x="920336" y="831272"/>
          <a:ext cx="2088079" cy="336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1">
                  <a:lumMod val="50000"/>
                </a:schemeClr>
              </a:solidFill>
            </a:rPr>
            <a:t>TOTAL</a:t>
          </a:r>
          <a:r>
            <a:rPr lang="en-IN" sz="1800" b="1" baseline="0">
              <a:solidFill>
                <a:schemeClr val="accent1">
                  <a:lumMod val="50000"/>
                </a:schemeClr>
              </a:solidFill>
            </a:rPr>
            <a:t> SALES</a:t>
          </a:r>
          <a:r>
            <a:rPr lang="en-IN" sz="1100" b="1" i="0" u="none" strike="noStrike">
              <a:solidFill>
                <a:schemeClr val="dk1"/>
              </a:solidFill>
              <a:effectLst/>
              <a:latin typeface="+mn-lt"/>
              <a:ea typeface="+mn-ea"/>
              <a:cs typeface="+mn-cs"/>
            </a:rPr>
            <a:t> </a:t>
          </a:r>
        </a:p>
        <a:p>
          <a:pPr algn="ctr"/>
          <a:r>
            <a:rPr lang="en-IN" sz="1800">
              <a:effectLst/>
            </a:rPr>
            <a:t> </a:t>
          </a:r>
          <a:endParaRPr lang="en-IN" sz="1800" b="1" baseline="0">
            <a:solidFill>
              <a:schemeClr val="accent1">
                <a:lumMod val="50000"/>
              </a:schemeClr>
            </a:solidFill>
          </a:endParaRPr>
        </a:p>
        <a:p>
          <a:pPr algn="ctr"/>
          <a:endParaRPr lang="en-IN" sz="1400" b="1">
            <a:solidFill>
              <a:schemeClr val="accent1">
                <a:lumMod val="50000"/>
              </a:schemeClr>
            </a:solidFill>
          </a:endParaRPr>
        </a:p>
      </xdr:txBody>
    </xdr:sp>
    <xdr:clientData/>
  </xdr:twoCellAnchor>
  <xdr:twoCellAnchor>
    <xdr:from>
      <xdr:col>3</xdr:col>
      <xdr:colOff>98961</xdr:colOff>
      <xdr:row>1</xdr:row>
      <xdr:rowOff>663039</xdr:rowOff>
    </xdr:from>
    <xdr:to>
      <xdr:col>4</xdr:col>
      <xdr:colOff>623455</xdr:colOff>
      <xdr:row>1</xdr:row>
      <xdr:rowOff>979715</xdr:rowOff>
    </xdr:to>
    <xdr:sp macro="" textlink="">
      <xdr:nvSpPr>
        <xdr:cNvPr id="15" name="TextBox 14">
          <a:extLst>
            <a:ext uri="{FF2B5EF4-FFF2-40B4-BE49-F238E27FC236}">
              <a16:creationId xmlns:a16="http://schemas.microsoft.com/office/drawing/2014/main" id="{CA53452E-26BA-B117-88B7-65DF04C13958}"/>
            </a:ext>
          </a:extLst>
        </xdr:cNvPr>
        <xdr:cNvSpPr txBox="1"/>
      </xdr:nvSpPr>
      <xdr:spPr>
        <a:xfrm>
          <a:off x="1326078" y="1088571"/>
          <a:ext cx="1296390" cy="316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1">
                  <a:lumMod val="50000"/>
                </a:schemeClr>
              </a:solidFill>
            </a:rPr>
            <a:t>9,790</a:t>
          </a:r>
        </a:p>
        <a:p>
          <a:endParaRPr lang="en-IN" sz="1100"/>
        </a:p>
      </xdr:txBody>
    </xdr:sp>
    <xdr:clientData/>
  </xdr:twoCellAnchor>
  <xdr:twoCellAnchor>
    <xdr:from>
      <xdr:col>5</xdr:col>
      <xdr:colOff>626824</xdr:colOff>
      <xdr:row>1</xdr:row>
      <xdr:rowOff>342520</xdr:rowOff>
    </xdr:from>
    <xdr:to>
      <xdr:col>10</xdr:col>
      <xdr:colOff>454741</xdr:colOff>
      <xdr:row>1</xdr:row>
      <xdr:rowOff>946182</xdr:rowOff>
    </xdr:to>
    <xdr:sp macro="" textlink="">
      <xdr:nvSpPr>
        <xdr:cNvPr id="16" name="Rectangle: Rounded Corners 15">
          <a:extLst>
            <a:ext uri="{FF2B5EF4-FFF2-40B4-BE49-F238E27FC236}">
              <a16:creationId xmlns:a16="http://schemas.microsoft.com/office/drawing/2014/main" id="{7A8AF5A9-B00D-4F16-ACA9-CB1FDAB544B6}"/>
            </a:ext>
          </a:extLst>
        </xdr:cNvPr>
        <xdr:cNvSpPr/>
      </xdr:nvSpPr>
      <xdr:spPr>
        <a:xfrm>
          <a:off x="5739598" y="772681"/>
          <a:ext cx="3392111" cy="60366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1487129</xdr:colOff>
      <xdr:row>1</xdr:row>
      <xdr:rowOff>303598</xdr:rowOff>
    </xdr:from>
    <xdr:to>
      <xdr:col>16</xdr:col>
      <xdr:colOff>19793</xdr:colOff>
      <xdr:row>1</xdr:row>
      <xdr:rowOff>907260</xdr:rowOff>
    </xdr:to>
    <xdr:sp macro="" textlink="">
      <xdr:nvSpPr>
        <xdr:cNvPr id="17" name="Rectangle: Rounded Corners 16">
          <a:extLst>
            <a:ext uri="{FF2B5EF4-FFF2-40B4-BE49-F238E27FC236}">
              <a16:creationId xmlns:a16="http://schemas.microsoft.com/office/drawing/2014/main" id="{816732F0-385F-42D6-A097-37F59C68872E}"/>
            </a:ext>
          </a:extLst>
        </xdr:cNvPr>
        <xdr:cNvSpPr/>
      </xdr:nvSpPr>
      <xdr:spPr>
        <a:xfrm>
          <a:off x="10164097" y="733759"/>
          <a:ext cx="3166115" cy="60366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5</xdr:col>
      <xdr:colOff>696130</xdr:colOff>
      <xdr:row>1</xdr:row>
      <xdr:rowOff>336309</xdr:rowOff>
    </xdr:from>
    <xdr:to>
      <xdr:col>6</xdr:col>
      <xdr:colOff>484765</xdr:colOff>
      <xdr:row>1</xdr:row>
      <xdr:rowOff>988287</xdr:rowOff>
    </xdr:to>
    <xdr:pic>
      <xdr:nvPicPr>
        <xdr:cNvPr id="19" name="Graphic 18" descr="Marker with solid fill">
          <a:extLst>
            <a:ext uri="{FF2B5EF4-FFF2-40B4-BE49-F238E27FC236}">
              <a16:creationId xmlns:a16="http://schemas.microsoft.com/office/drawing/2014/main" id="{957621EB-6F75-DF7E-93DB-82F821C047E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808904" y="766470"/>
          <a:ext cx="636667" cy="651978"/>
        </a:xfrm>
        <a:prstGeom prst="rect">
          <a:avLst/>
        </a:prstGeom>
      </xdr:spPr>
    </xdr:pic>
    <xdr:clientData/>
  </xdr:twoCellAnchor>
  <xdr:twoCellAnchor>
    <xdr:from>
      <xdr:col>7</xdr:col>
      <xdr:colOff>44824</xdr:colOff>
      <xdr:row>1</xdr:row>
      <xdr:rowOff>329821</xdr:rowOff>
    </xdr:from>
    <xdr:to>
      <xdr:col>10</xdr:col>
      <xdr:colOff>14942</xdr:colOff>
      <xdr:row>1</xdr:row>
      <xdr:rowOff>682388</xdr:rowOff>
    </xdr:to>
    <xdr:sp macro="" textlink="">
      <xdr:nvSpPr>
        <xdr:cNvPr id="20" name="TextBox 19">
          <a:extLst>
            <a:ext uri="{FF2B5EF4-FFF2-40B4-BE49-F238E27FC236}">
              <a16:creationId xmlns:a16="http://schemas.microsoft.com/office/drawing/2014/main" id="{68B46C99-07C4-C992-475E-B8BF08B67594}"/>
            </a:ext>
          </a:extLst>
        </xdr:cNvPr>
        <xdr:cNvSpPr txBox="1"/>
      </xdr:nvSpPr>
      <xdr:spPr>
        <a:xfrm>
          <a:off x="4571331" y="762000"/>
          <a:ext cx="1846686" cy="352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6">
                  <a:lumMod val="75000"/>
                </a:schemeClr>
              </a:solidFill>
            </a:rPr>
            <a:t>TOP REGION</a:t>
          </a:r>
        </a:p>
      </xdr:txBody>
    </xdr:sp>
    <xdr:clientData/>
  </xdr:twoCellAnchor>
  <xdr:twoCellAnchor>
    <xdr:from>
      <xdr:col>7</xdr:col>
      <xdr:colOff>136478</xdr:colOff>
      <xdr:row>1</xdr:row>
      <xdr:rowOff>568657</xdr:rowOff>
    </xdr:from>
    <xdr:to>
      <xdr:col>9</xdr:col>
      <xdr:colOff>602777</xdr:colOff>
      <xdr:row>1</xdr:row>
      <xdr:rowOff>898478</xdr:rowOff>
    </xdr:to>
    <xdr:sp macro="" textlink="">
      <xdr:nvSpPr>
        <xdr:cNvPr id="21" name="TextBox 20">
          <a:extLst>
            <a:ext uri="{FF2B5EF4-FFF2-40B4-BE49-F238E27FC236}">
              <a16:creationId xmlns:a16="http://schemas.microsoft.com/office/drawing/2014/main" id="{94C24ED5-AA07-585C-7EAA-F10D612F2AE5}"/>
            </a:ext>
          </a:extLst>
        </xdr:cNvPr>
        <xdr:cNvSpPr txBox="1"/>
      </xdr:nvSpPr>
      <xdr:spPr>
        <a:xfrm>
          <a:off x="4662985" y="1000836"/>
          <a:ext cx="1569493" cy="329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6">
                  <a:lumMod val="75000"/>
                </a:schemeClr>
              </a:solidFill>
            </a:rPr>
            <a:t>NORTH</a:t>
          </a:r>
        </a:p>
      </xdr:txBody>
    </xdr:sp>
    <xdr:clientData/>
  </xdr:twoCellAnchor>
  <xdr:twoCellAnchor editAs="oneCell">
    <xdr:from>
      <xdr:col>11</xdr:col>
      <xdr:colOff>182704</xdr:colOff>
      <xdr:row>1</xdr:row>
      <xdr:rowOff>351651</xdr:rowOff>
    </xdr:from>
    <xdr:to>
      <xdr:col>12</xdr:col>
      <xdr:colOff>125840</xdr:colOff>
      <xdr:row>1</xdr:row>
      <xdr:rowOff>908934</xdr:rowOff>
    </xdr:to>
    <xdr:pic>
      <xdr:nvPicPr>
        <xdr:cNvPr id="23" name="Graphic 22" descr="List with solid fill">
          <a:extLst>
            <a:ext uri="{FF2B5EF4-FFF2-40B4-BE49-F238E27FC236}">
              <a16:creationId xmlns:a16="http://schemas.microsoft.com/office/drawing/2014/main" id="{57EE876C-2C8B-8441-8290-9811126B3FC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420543" y="781812"/>
          <a:ext cx="557652" cy="557283"/>
        </a:xfrm>
        <a:prstGeom prst="rect">
          <a:avLst/>
        </a:prstGeom>
      </xdr:spPr>
    </xdr:pic>
    <xdr:clientData/>
  </xdr:twoCellAnchor>
  <xdr:twoCellAnchor>
    <xdr:from>
      <xdr:col>12</xdr:col>
      <xdr:colOff>568657</xdr:colOff>
      <xdr:row>1</xdr:row>
      <xdr:rowOff>363941</xdr:rowOff>
    </xdr:from>
    <xdr:to>
      <xdr:col>15</xdr:col>
      <xdr:colOff>272955</xdr:colOff>
      <xdr:row>1</xdr:row>
      <xdr:rowOff>659643</xdr:rowOff>
    </xdr:to>
    <xdr:sp macro="" textlink="">
      <xdr:nvSpPr>
        <xdr:cNvPr id="24" name="TextBox 23">
          <a:extLst>
            <a:ext uri="{FF2B5EF4-FFF2-40B4-BE49-F238E27FC236}">
              <a16:creationId xmlns:a16="http://schemas.microsoft.com/office/drawing/2014/main" id="{6EB3C190-AAED-8DC2-EF01-28A92AEFB68A}"/>
            </a:ext>
          </a:extLst>
        </xdr:cNvPr>
        <xdr:cNvSpPr txBox="1"/>
      </xdr:nvSpPr>
      <xdr:spPr>
        <a:xfrm>
          <a:off x="8791433" y="796120"/>
          <a:ext cx="1546746" cy="2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lumMod val="75000"/>
                </a:schemeClr>
              </a:solidFill>
            </a:rPr>
            <a:t>TOP PRODUCT</a:t>
          </a:r>
        </a:p>
      </xdr:txBody>
    </xdr:sp>
    <xdr:clientData/>
  </xdr:twoCellAnchor>
  <xdr:twoCellAnchor>
    <xdr:from>
      <xdr:col>13</xdr:col>
      <xdr:colOff>56866</xdr:colOff>
      <xdr:row>1</xdr:row>
      <xdr:rowOff>602776</xdr:rowOff>
    </xdr:from>
    <xdr:to>
      <xdr:col>15</xdr:col>
      <xdr:colOff>250209</xdr:colOff>
      <xdr:row>1</xdr:row>
      <xdr:rowOff>898478</xdr:rowOff>
    </xdr:to>
    <xdr:sp macro="" textlink="">
      <xdr:nvSpPr>
        <xdr:cNvPr id="25" name="TextBox 24">
          <a:extLst>
            <a:ext uri="{FF2B5EF4-FFF2-40B4-BE49-F238E27FC236}">
              <a16:creationId xmlns:a16="http://schemas.microsoft.com/office/drawing/2014/main" id="{A86ACA6F-83F4-B504-0139-F3723E80F96F}"/>
            </a:ext>
          </a:extLst>
        </xdr:cNvPr>
        <xdr:cNvSpPr txBox="1"/>
      </xdr:nvSpPr>
      <xdr:spPr>
        <a:xfrm>
          <a:off x="8893791" y="1034955"/>
          <a:ext cx="1421642" cy="2957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lumMod val="75000"/>
                </a:schemeClr>
              </a:solidFill>
            </a:rPr>
            <a:t>PRODUCT</a:t>
          </a:r>
          <a:r>
            <a:rPr lang="en-IN" sz="1200"/>
            <a:t> </a:t>
          </a:r>
          <a:r>
            <a:rPr lang="en-IN" sz="1600" b="1">
              <a:solidFill>
                <a:schemeClr val="accent2">
                  <a:lumMod val="75000"/>
                </a:schemeClr>
              </a:solidFill>
            </a:rPr>
            <a:t>C</a:t>
          </a:r>
          <a:endParaRPr lang="en-IN" sz="1200" b="1">
            <a:solidFill>
              <a:schemeClr val="accent2">
                <a:lumMod val="75000"/>
              </a:schemeClr>
            </a:solidFill>
          </a:endParaRPr>
        </a:p>
      </xdr:txBody>
    </xdr:sp>
    <xdr:clientData/>
  </xdr:twoCellAnchor>
  <xdr:twoCellAnchor>
    <xdr:from>
      <xdr:col>6</xdr:col>
      <xdr:colOff>517585</xdr:colOff>
      <xdr:row>1</xdr:row>
      <xdr:rowOff>1</xdr:rowOff>
    </xdr:from>
    <xdr:to>
      <xdr:col>9</xdr:col>
      <xdr:colOff>646981</xdr:colOff>
      <xdr:row>1</xdr:row>
      <xdr:rowOff>330679</xdr:rowOff>
    </xdr:to>
    <xdr:sp macro="" textlink="">
      <xdr:nvSpPr>
        <xdr:cNvPr id="3" name="TextBox 2">
          <a:extLst>
            <a:ext uri="{FF2B5EF4-FFF2-40B4-BE49-F238E27FC236}">
              <a16:creationId xmlns:a16="http://schemas.microsoft.com/office/drawing/2014/main" id="{AF630EEC-DBCC-9FCC-176D-0826F9C8D28D}"/>
            </a:ext>
          </a:extLst>
        </xdr:cNvPr>
        <xdr:cNvSpPr txBox="1"/>
      </xdr:nvSpPr>
      <xdr:spPr>
        <a:xfrm>
          <a:off x="6426679" y="431322"/>
          <a:ext cx="2070340" cy="330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KEY INSIGHTS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Gupta" refreshedDate="46140.741034953702" createdVersion="8" refreshedVersion="8" minRefreshableVersion="3" recordCount="30" xr:uid="{4FE43450-4652-48A1-8072-BCC85709A261}">
  <cacheSource type="worksheet">
    <worksheetSource name="Table2"/>
  </cacheSource>
  <cacheFields count="8">
    <cacheField name="Date " numFmtId="14">
      <sharedItems containsSemiMixedTypes="0" containsNonDate="0" containsDate="1" containsString="0" minDate="2025-10-01T00:00:00" maxDate="2026-03-03T00:00:00"/>
    </cacheField>
    <cacheField name="  Region " numFmtId="49">
      <sharedItems count="4">
        <s v="North"/>
        <s v="South"/>
        <s v="East"/>
        <s v="West"/>
      </sharedItems>
    </cacheField>
    <cacheField name=" Product " numFmtId="49">
      <sharedItems count="3">
        <s v="Product A"/>
        <s v="Product B"/>
        <s v="Product C"/>
      </sharedItems>
    </cacheField>
    <cacheField name=" Quantity " numFmtId="1">
      <sharedItems containsSemiMixedTypes="0" containsString="0" containsNumber="1" containsInteger="1" minValue="5" maxValue="20"/>
    </cacheField>
    <cacheField name=" Unit Price " numFmtId="1">
      <sharedItems containsSemiMixedTypes="0" containsString="0" containsNumber="1" containsInteger="1" minValue="20" maxValue="50"/>
    </cacheField>
    <cacheField name=" Total Sales" numFmtId="1">
      <sharedItems containsSemiMixedTypes="0" containsString="0" containsNumber="1" containsInteger="1" minValue="200" maxValue="500"/>
    </cacheField>
    <cacheField name="ERROR CHECK" numFmtId="1">
      <sharedItems containsSemiMixedTypes="0" containsString="0" containsNumber="1" containsInteger="1" minValue="200" maxValue="500"/>
    </cacheField>
    <cacheField name="month" numFmtId="0">
      <sharedItems count="6">
        <s v="Oct"/>
        <s v="Nov"/>
        <s v="Dec"/>
        <s v="Jan"/>
        <s v="Feb"/>
        <s v="Mar"/>
      </sharedItems>
    </cacheField>
  </cacheFields>
  <extLst>
    <ext xmlns:x14="http://schemas.microsoft.com/office/spreadsheetml/2009/9/main" uri="{725AE2AE-9491-48be-B2B4-4EB974FC3084}">
      <x14:pivotCacheDefinition pivotCacheId="18887291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5-10-01T00:00:00"/>
    <x v="0"/>
    <x v="0"/>
    <n v="10"/>
    <n v="20"/>
    <n v="200"/>
    <n v="200"/>
    <x v="0"/>
  </r>
  <r>
    <d v="2025-10-02T00:00:00"/>
    <x v="1"/>
    <x v="1"/>
    <n v="8"/>
    <n v="30"/>
    <n v="240"/>
    <n v="240"/>
    <x v="0"/>
  </r>
  <r>
    <d v="2025-10-03T00:00:00"/>
    <x v="2"/>
    <x v="2"/>
    <n v="5"/>
    <n v="50"/>
    <n v="250"/>
    <n v="250"/>
    <x v="0"/>
  </r>
  <r>
    <d v="2025-11-04T00:00:00"/>
    <x v="3"/>
    <x v="0"/>
    <n v="12"/>
    <n v="20"/>
    <n v="240"/>
    <n v="240"/>
    <x v="1"/>
  </r>
  <r>
    <d v="2025-11-05T00:00:00"/>
    <x v="0"/>
    <x v="1"/>
    <n v="15"/>
    <n v="30"/>
    <n v="450"/>
    <n v="450"/>
    <x v="1"/>
  </r>
  <r>
    <d v="2025-11-06T00:00:00"/>
    <x v="1"/>
    <x v="2"/>
    <n v="10"/>
    <n v="50"/>
    <n v="500"/>
    <n v="500"/>
    <x v="1"/>
  </r>
  <r>
    <d v="2025-11-07T00:00:00"/>
    <x v="2"/>
    <x v="0"/>
    <n v="20"/>
    <n v="20"/>
    <n v="400"/>
    <n v="400"/>
    <x v="1"/>
  </r>
  <r>
    <d v="2025-11-08T00:00:00"/>
    <x v="3"/>
    <x v="1"/>
    <n v="7"/>
    <n v="30"/>
    <n v="210"/>
    <n v="210"/>
    <x v="1"/>
  </r>
  <r>
    <d v="2025-11-09T00:00:00"/>
    <x v="0"/>
    <x v="2"/>
    <n v="9"/>
    <n v="50"/>
    <n v="450"/>
    <n v="450"/>
    <x v="1"/>
  </r>
  <r>
    <d v="2025-12-10T00:00:00"/>
    <x v="1"/>
    <x v="0"/>
    <n v="11"/>
    <n v="20"/>
    <n v="220"/>
    <n v="220"/>
    <x v="2"/>
  </r>
  <r>
    <d v="2025-12-11T00:00:00"/>
    <x v="2"/>
    <x v="1"/>
    <n v="14"/>
    <n v="30"/>
    <n v="420"/>
    <n v="420"/>
    <x v="2"/>
  </r>
  <r>
    <d v="2025-12-12T00:00:00"/>
    <x v="3"/>
    <x v="2"/>
    <n v="6"/>
    <n v="50"/>
    <n v="300"/>
    <n v="300"/>
    <x v="2"/>
  </r>
  <r>
    <d v="2025-12-13T00:00:00"/>
    <x v="0"/>
    <x v="0"/>
    <n v="13"/>
    <n v="20"/>
    <n v="260"/>
    <n v="260"/>
    <x v="2"/>
  </r>
  <r>
    <d v="2025-12-14T00:00:00"/>
    <x v="1"/>
    <x v="1"/>
    <n v="10"/>
    <n v="30"/>
    <n v="300"/>
    <n v="300"/>
    <x v="2"/>
  </r>
  <r>
    <d v="2026-01-15T00:00:00"/>
    <x v="2"/>
    <x v="2"/>
    <n v="8"/>
    <n v="50"/>
    <n v="400"/>
    <n v="400"/>
    <x v="3"/>
  </r>
  <r>
    <d v="2026-01-16T00:00:00"/>
    <x v="3"/>
    <x v="0"/>
    <n v="10"/>
    <n v="20"/>
    <n v="200"/>
    <n v="200"/>
    <x v="3"/>
  </r>
  <r>
    <d v="2026-01-17T00:00:00"/>
    <x v="0"/>
    <x v="1"/>
    <n v="16"/>
    <n v="30"/>
    <n v="480"/>
    <n v="480"/>
    <x v="3"/>
  </r>
  <r>
    <d v="2026-01-18T00:00:00"/>
    <x v="1"/>
    <x v="2"/>
    <n v="7"/>
    <n v="50"/>
    <n v="350"/>
    <n v="350"/>
    <x v="3"/>
  </r>
  <r>
    <d v="2026-01-19T00:00:00"/>
    <x v="2"/>
    <x v="0"/>
    <n v="18"/>
    <n v="20"/>
    <n v="360"/>
    <n v="360"/>
    <x v="3"/>
  </r>
  <r>
    <d v="2026-01-20T00:00:00"/>
    <x v="3"/>
    <x v="1"/>
    <n v="9"/>
    <n v="30"/>
    <n v="270"/>
    <n v="270"/>
    <x v="3"/>
  </r>
  <r>
    <d v="2026-01-21T00:00:00"/>
    <x v="0"/>
    <x v="2"/>
    <n v="10"/>
    <n v="50"/>
    <n v="500"/>
    <n v="500"/>
    <x v="3"/>
  </r>
  <r>
    <d v="2026-01-22T00:00:00"/>
    <x v="1"/>
    <x v="0"/>
    <n v="12"/>
    <n v="20"/>
    <n v="240"/>
    <n v="240"/>
    <x v="3"/>
  </r>
  <r>
    <d v="2026-02-23T00:00:00"/>
    <x v="2"/>
    <x v="1"/>
    <n v="11"/>
    <n v="30"/>
    <n v="330"/>
    <n v="330"/>
    <x v="4"/>
  </r>
  <r>
    <d v="2026-02-24T00:00:00"/>
    <x v="3"/>
    <x v="2"/>
    <n v="5"/>
    <n v="50"/>
    <n v="250"/>
    <n v="250"/>
    <x v="4"/>
  </r>
  <r>
    <d v="2026-02-25T00:00:00"/>
    <x v="0"/>
    <x v="0"/>
    <n v="14"/>
    <n v="20"/>
    <n v="280"/>
    <n v="280"/>
    <x v="4"/>
  </r>
  <r>
    <d v="2026-02-26T00:00:00"/>
    <x v="1"/>
    <x v="1"/>
    <n v="10"/>
    <n v="30"/>
    <n v="300"/>
    <n v="300"/>
    <x v="4"/>
  </r>
  <r>
    <d v="2026-02-27T00:00:00"/>
    <x v="2"/>
    <x v="2"/>
    <n v="6"/>
    <n v="50"/>
    <n v="300"/>
    <n v="300"/>
    <x v="4"/>
  </r>
  <r>
    <d v="2026-02-28T00:00:00"/>
    <x v="3"/>
    <x v="0"/>
    <n v="15"/>
    <n v="20"/>
    <n v="300"/>
    <n v="300"/>
    <x v="4"/>
  </r>
  <r>
    <d v="2026-03-01T00:00:00"/>
    <x v="0"/>
    <x v="1"/>
    <n v="13"/>
    <n v="30"/>
    <n v="390"/>
    <n v="390"/>
    <x v="5"/>
  </r>
  <r>
    <d v="2026-03-02T00:00:00"/>
    <x v="1"/>
    <x v="2"/>
    <n v="8"/>
    <n v="50"/>
    <n v="400"/>
    <n v="40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DB33A3-1E4B-4FF4-8B95-BBB6C854957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Month">
  <location ref="J15:K22" firstHeaderRow="1" firstDataRow="1" firstDataCol="1"/>
  <pivotFields count="8">
    <pivotField numFmtId="14" showAll="0"/>
    <pivotField showAll="0"/>
    <pivotField showAll="0"/>
    <pivotField numFmtId="1" showAll="0"/>
    <pivotField numFmtId="1" showAll="0"/>
    <pivotField dataField="1" numFmtId="1" showAll="0"/>
    <pivotField numFmtId="1" showAll="0"/>
    <pivotField axis="axisRow" showAll="0">
      <items count="7">
        <item x="3"/>
        <item x="4"/>
        <item x="5"/>
        <item x="0"/>
        <item x="1"/>
        <item x="2"/>
        <item t="default"/>
      </items>
    </pivotField>
  </pivotFields>
  <rowFields count="1">
    <field x="7"/>
  </rowFields>
  <rowItems count="7">
    <i>
      <x/>
    </i>
    <i>
      <x v="1"/>
    </i>
    <i>
      <x v="2"/>
    </i>
    <i>
      <x v="3"/>
    </i>
    <i>
      <x v="4"/>
    </i>
    <i>
      <x v="5"/>
    </i>
    <i t="grand">
      <x/>
    </i>
  </rowItems>
  <colItems count="1">
    <i/>
  </colItems>
  <dataFields count="1">
    <dataField name="Sum of  Total Sales" fld="5" baseField="7" baseItem="0" numFmtId="164"/>
  </dataFields>
  <formats count="6">
    <format dxfId="38">
      <pivotArea type="all" dataOnly="0" outline="0" fieldPosition="0"/>
    </format>
    <format dxfId="37">
      <pivotArea outline="0" collapsedLevelsAreSubtotals="1" fieldPosition="0"/>
    </format>
    <format dxfId="36">
      <pivotArea field="7" type="button" dataOnly="0" labelOnly="1" outline="0" axis="axisRow" fieldPosition="0"/>
    </format>
    <format dxfId="35">
      <pivotArea dataOnly="0" labelOnly="1" fieldPosition="0">
        <references count="1">
          <reference field="7" count="0"/>
        </references>
      </pivotArea>
    </format>
    <format dxfId="34">
      <pivotArea dataOnly="0" labelOnly="1" grandRow="1" outline="0" fieldPosition="0"/>
    </format>
    <format dxfId="3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78979B-42FC-4509-93FA-20F4357E475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roduct">
  <location ref="J5:K9" firstHeaderRow="1" firstDataRow="1" firstDataCol="1"/>
  <pivotFields count="8">
    <pivotField numFmtId="14" showAll="0"/>
    <pivotField showAll="0">
      <items count="5">
        <item h="1" x="2"/>
        <item x="0"/>
        <item h="1" x="1"/>
        <item h="1" x="3"/>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numFmtId="1" showAll="0"/>
    <pivotField numFmtId="1" showAll="0"/>
    <pivotField dataField="1" numFmtId="1" showAll="0"/>
    <pivotField numFmtId="1" showAll="0"/>
    <pivotField showAll="0"/>
  </pivotFields>
  <rowFields count="1">
    <field x="2"/>
  </rowFields>
  <rowItems count="4">
    <i>
      <x v="2"/>
    </i>
    <i>
      <x v="1"/>
    </i>
    <i>
      <x/>
    </i>
    <i t="grand">
      <x/>
    </i>
  </rowItems>
  <colItems count="1">
    <i/>
  </colItems>
  <dataFields count="1">
    <dataField name="Sum of  Total Sales" fld="5" baseField="2" baseItem="0" numFmtId="164"/>
  </dataFields>
  <formats count="6">
    <format dxfId="44">
      <pivotArea type="all" dataOnly="0" outline="0" fieldPosition="0"/>
    </format>
    <format dxfId="43">
      <pivotArea outline="0" collapsedLevelsAreSubtotals="1" fieldPosition="0"/>
    </format>
    <format dxfId="42">
      <pivotArea field="2" type="button" dataOnly="0" labelOnly="1" outline="0" axis="axisRow" fieldPosition="0"/>
    </format>
    <format dxfId="41">
      <pivotArea dataOnly="0" labelOnly="1" fieldPosition="0">
        <references count="1">
          <reference field="2" count="0"/>
        </references>
      </pivotArea>
    </format>
    <format dxfId="40">
      <pivotArea dataOnly="0" labelOnly="1" grandRow="1" outline="0" fieldPosition="0"/>
    </format>
    <format dxfId="3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025C81-376D-42F8-B698-B3CE02EDFB4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D15:H21" firstHeaderRow="1" firstDataRow="2" firstDataCol="1"/>
  <pivotFields count="8">
    <pivotField numFmtId="14" showAll="0"/>
    <pivotField axis="axisRow" showAll="0">
      <items count="5">
        <item x="2"/>
        <item x="0"/>
        <item x="1"/>
        <item x="3"/>
        <item t="default"/>
      </items>
    </pivotField>
    <pivotField axis="axisCol" showAll="0">
      <items count="4">
        <item x="0"/>
        <item x="1"/>
        <item x="2"/>
        <item t="default"/>
      </items>
    </pivotField>
    <pivotField numFmtId="1" showAll="0"/>
    <pivotField numFmtId="1" showAll="0"/>
    <pivotField dataField="1" numFmtId="1" showAll="0"/>
    <pivotField numFmtId="1" showAll="0"/>
    <pivotField showAll="0"/>
  </pivotFields>
  <rowFields count="1">
    <field x="1"/>
  </rowFields>
  <rowItems count="5">
    <i>
      <x/>
    </i>
    <i>
      <x v="1"/>
    </i>
    <i>
      <x v="2"/>
    </i>
    <i>
      <x v="3"/>
    </i>
    <i t="grand">
      <x/>
    </i>
  </rowItems>
  <colFields count="1">
    <field x="2"/>
  </colFields>
  <colItems count="4">
    <i>
      <x/>
    </i>
    <i>
      <x v="1"/>
    </i>
    <i>
      <x v="2"/>
    </i>
    <i t="grand">
      <x/>
    </i>
  </colItems>
  <dataFields count="1">
    <dataField name="Sum of  Total Sales" fld="5" baseField="1" baseItem="0" numFmtId="164"/>
  </dataFields>
  <formats count="10">
    <format dxfId="54">
      <pivotArea type="all" dataOnly="0" outline="0" fieldPosition="0"/>
    </format>
    <format dxfId="53">
      <pivotArea outline="0" collapsedLevelsAreSubtotals="1" fieldPosition="0"/>
    </format>
    <format dxfId="52">
      <pivotArea type="origin" dataOnly="0" labelOnly="1" outline="0" fieldPosition="0"/>
    </format>
    <format dxfId="51">
      <pivotArea field="2" type="button" dataOnly="0" labelOnly="1" outline="0" axis="axisCol" fieldPosition="0"/>
    </format>
    <format dxfId="50">
      <pivotArea type="topRight" dataOnly="0" labelOnly="1" outline="0" fieldPosition="0"/>
    </format>
    <format dxfId="49">
      <pivotArea field="1" type="button" dataOnly="0" labelOnly="1" outline="0" axis="axisRow" fieldPosition="0"/>
    </format>
    <format dxfId="48">
      <pivotArea dataOnly="0" labelOnly="1" fieldPosition="0">
        <references count="1">
          <reference field="1" count="0"/>
        </references>
      </pivotArea>
    </format>
    <format dxfId="47">
      <pivotArea dataOnly="0" labelOnly="1" grandRow="1" outline="0" fieldPosition="0"/>
    </format>
    <format dxfId="46">
      <pivotArea dataOnly="0" labelOnly="1" fieldPosition="0">
        <references count="1">
          <reference field="2" count="0"/>
        </references>
      </pivotArea>
    </format>
    <format dxfId="45">
      <pivotArea dataOnly="0" labelOnly="1" grandCol="1" outline="0" fieldPosition="0"/>
    </format>
  </format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B30809-F4C8-4C37-AADA-4318BF1F8F1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D5:E10" firstHeaderRow="1" firstDataRow="1" firstDataCol="1"/>
  <pivotFields count="8">
    <pivotField numFmtId="14"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numFmtId="1" showAll="0"/>
    <pivotField numFmtId="1" showAll="0"/>
    <pivotField dataField="1" numFmtId="1" showAll="0"/>
    <pivotField numFmtId="1" showAll="0"/>
    <pivotField showAll="0"/>
  </pivotFields>
  <rowFields count="1">
    <field x="1"/>
  </rowFields>
  <rowItems count="5">
    <i>
      <x v="1"/>
    </i>
    <i>
      <x v="2"/>
    </i>
    <i>
      <x/>
    </i>
    <i>
      <x v="3"/>
    </i>
    <i t="grand">
      <x/>
    </i>
  </rowItems>
  <colItems count="1">
    <i/>
  </colItems>
  <dataFields count="1">
    <dataField name="Sum of  Total Sales" fld="5" baseField="1" baseItem="0" numFmtId="164"/>
  </dataFields>
  <formats count="6">
    <format dxfId="60">
      <pivotArea type="all" dataOnly="0" outline="0" fieldPosition="0"/>
    </format>
    <format dxfId="59">
      <pivotArea outline="0" collapsedLevelsAreSubtotals="1" fieldPosition="0"/>
    </format>
    <format dxfId="58">
      <pivotArea field="1" type="button" dataOnly="0" labelOnly="1" outline="0" axis="axisRow" fieldPosition="0"/>
    </format>
    <format dxfId="57">
      <pivotArea dataOnly="0" labelOnly="1" fieldPosition="0">
        <references count="1">
          <reference field="1" count="0"/>
        </references>
      </pivotArea>
    </format>
    <format dxfId="56">
      <pivotArea dataOnly="0" labelOnly="1" grandRow="1" outline="0" fieldPosition="0"/>
    </format>
    <format dxfId="5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9353B0-B3B2-4455-AB09-58F3575B45A7}" sourceName="  Region ">
  <pivotTables>
    <pivotTable tabId="5" name="PivotTable1"/>
    <pivotTable tabId="5" name="PivotTable4"/>
  </pivotTables>
  <data>
    <tabular pivotCacheId="1888729116">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4C62266-CEC3-4103-AF72-9EF5E3F93F0F}" sourceName=" Product ">
  <pivotTables>
    <pivotTable tabId="5" name="PivotTable8"/>
  </pivotTables>
  <data>
    <tabular pivotCacheId="188872911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Region " xr10:uid="{09206FEB-8729-4487-9800-669D59EE1567}" cache="Slicer_Region" caption="  Region " rowHeight="396000"/>
  <slicer name=" Product " xr10:uid="{19510E13-E294-43FA-8902-3CF1682AAFA2}" cache="Slicer_Product" caption=" Product "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D78FB0-9822-401C-87CF-E5129F8E8B67}" name="Table1" displayName="Table1" ref="A1:F32" totalsRowShown="0" headerRowDxfId="32" headerRowBorderDxfId="31" tableBorderDxfId="30" totalsRowBorderDxfId="29">
  <autoFilter ref="A1:F32" xr:uid="{0FD78FB0-9822-401C-87CF-E5129F8E8B67}"/>
  <tableColumns count="6">
    <tableColumn id="1" xr3:uid="{8F0B9874-12D5-40FF-9782-BD576A65BDA6}" name="Date " dataDxfId="28"/>
    <tableColumn id="2" xr3:uid="{997682E3-1049-4C90-8915-CC5F78300B98}" name="  Region " dataDxfId="27"/>
    <tableColumn id="3" xr3:uid="{33D2D46A-8A88-401B-9E5B-FB12E921BE1C}" name=" Product " dataDxfId="26"/>
    <tableColumn id="4" xr3:uid="{0BA9DFEC-5203-470C-B003-43628F92A059}" name=" Quantity " dataDxfId="25"/>
    <tableColumn id="5" xr3:uid="{5940E59E-F8BC-4465-95BE-DDBFBE600A97}" name=" Unit Price " dataDxfId="24"/>
    <tableColumn id="6" xr3:uid="{9C470C1E-D789-409F-A4A6-352036A9E86C}" name=" Total Sales" dataDxf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B90FF1-B6D6-412F-B4F2-99044A634F7C}" name="Table3" displayName="Table3" ref="A1:G31" totalsRowShown="0" headerRowDxfId="22" headerRowBorderDxfId="21" tableBorderDxfId="20" totalsRowBorderDxfId="19">
  <autoFilter ref="A1:G31" xr:uid="{57B90FF1-B6D6-412F-B4F2-99044A634F7C}"/>
  <tableColumns count="7">
    <tableColumn id="1" xr3:uid="{920C30CC-65CC-4D13-93E9-DE8ECC60FF8E}" name="Date " dataDxfId="18"/>
    <tableColumn id="2" xr3:uid="{D1344BB5-2F23-4AB3-9549-5535647933A7}" name="  Region " dataDxfId="17"/>
    <tableColumn id="3" xr3:uid="{92F0E1D1-3741-4237-A49D-F1EF888FC3C6}" name=" Product " dataDxfId="16"/>
    <tableColumn id="4" xr3:uid="{28B35D54-9847-49F0-9008-DCC935AD75EE}" name=" Quantity " dataDxfId="15"/>
    <tableColumn id="5" xr3:uid="{25B6920C-BC5F-42DB-BDC8-B48B99AF9C46}" name=" Unit Price " dataDxfId="14"/>
    <tableColumn id="6" xr3:uid="{BBD904BE-0024-49CE-B14F-D0CA1ED6D60D}" name=" Total Sales" dataDxfId="13">
      <calculatedColumnFormula>Table3[[#This Row],[ Quantity ]]*Table3[[#This Row],[ Unit Price ]]</calculatedColumnFormula>
    </tableColumn>
    <tableColumn id="7" xr3:uid="{C30B37B7-0FF9-42E4-A9F6-46D084920E14}" name="ERROR CHECK" dataDxfId="12">
      <calculatedColumnFormula>IFERROR(Table3[[#This Row],[ Quantity ]]*Table3[[#This Row],[ Unit Price ]],"ERROR")</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A51684-2F47-4953-89A6-D3C50A83CB53}" name="Table2" displayName="Table2" ref="A1:H31" totalsRowShown="0" headerRowDxfId="11" headerRowBorderDxfId="10" tableBorderDxfId="9" totalsRowBorderDxfId="8">
  <autoFilter ref="A1:H31" xr:uid="{ABA51684-2F47-4953-89A6-D3C50A83CB53}"/>
  <tableColumns count="8">
    <tableColumn id="1" xr3:uid="{9C81BD74-3298-445F-ADDF-8437E6EE7A60}" name="Date " dataDxfId="7"/>
    <tableColumn id="2" xr3:uid="{AA357237-3379-4168-A97A-1A1BA426030F}" name="  Region " dataDxfId="6"/>
    <tableColumn id="3" xr3:uid="{53080933-F66E-4BBB-82FB-8AE3DA377CA5}" name=" Product " dataDxfId="5"/>
    <tableColumn id="4" xr3:uid="{8A6FE4DD-F8B1-4484-B0AC-B85C71231CF9}" name=" Quantity " dataDxfId="4"/>
    <tableColumn id="5" xr3:uid="{411133DD-1FF2-4022-8585-55043094AC88}" name=" Unit Price " dataDxfId="3"/>
    <tableColumn id="6" xr3:uid="{5BEFD71D-7B51-4D01-8122-007C057F1444}" name=" Total Sales" dataDxfId="2">
      <calculatedColumnFormula>Table2[[#This Row],[ Quantity ]]*Table2[[#This Row],[ Unit Price ]]</calculatedColumnFormula>
    </tableColumn>
    <tableColumn id="7" xr3:uid="{ADA09421-E9EA-4AA3-BE24-90DD1E89743B}" name="ERROR CHECK" dataDxfId="1">
      <calculatedColumnFormula>IFERROR(Table2[[#This Row],[ Quantity ]]*Table2[[#This Row],[ Unit Price ]],"ERROR")</calculatedColumnFormula>
    </tableColumn>
    <tableColumn id="8" xr3:uid="{5E04535B-02F4-4E25-9A76-1E137DF8C0AD}" name="month" dataDxfId="0">
      <calculatedColumnFormula>TEXT(Table2[[#This Row],[Date ]],"mmm")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0899C-362F-4C28-9A0B-FB2437645FBF}">
  <dimension ref="A1:F32"/>
  <sheetViews>
    <sheetView workbookViewId="0">
      <selection activeCell="G9" sqref="G9"/>
    </sheetView>
  </sheetViews>
  <sheetFormatPr defaultRowHeight="14.4" x14ac:dyDescent="0.3"/>
  <cols>
    <col min="1" max="6" width="15.21875" customWidth="1"/>
  </cols>
  <sheetData>
    <row r="1" spans="1:6" x14ac:dyDescent="0.3">
      <c r="A1" s="5" t="s">
        <v>0</v>
      </c>
      <c r="B1" s="6" t="s">
        <v>1</v>
      </c>
      <c r="C1" s="6" t="s">
        <v>2</v>
      </c>
      <c r="D1" s="6" t="s">
        <v>3</v>
      </c>
      <c r="E1" s="12" t="s">
        <v>4</v>
      </c>
      <c r="F1" s="7" t="s">
        <v>5</v>
      </c>
    </row>
    <row r="2" spans="1:6" x14ac:dyDescent="0.3">
      <c r="A2" s="3">
        <v>45931</v>
      </c>
      <c r="B2" s="2" t="s">
        <v>6</v>
      </c>
      <c r="C2" s="2" t="s">
        <v>7</v>
      </c>
      <c r="D2" s="1">
        <v>10</v>
      </c>
      <c r="E2" s="13">
        <v>20</v>
      </c>
      <c r="F2" s="4">
        <v>200</v>
      </c>
    </row>
    <row r="3" spans="1:6" x14ac:dyDescent="0.3">
      <c r="A3" s="3">
        <v>45932</v>
      </c>
      <c r="B3" s="2" t="s">
        <v>8</v>
      </c>
      <c r="C3" s="2" t="s">
        <v>9</v>
      </c>
      <c r="D3" s="1">
        <v>8</v>
      </c>
      <c r="E3" s="13">
        <v>30</v>
      </c>
      <c r="F3" s="4">
        <v>240</v>
      </c>
    </row>
    <row r="4" spans="1:6" x14ac:dyDescent="0.3">
      <c r="A4" s="3">
        <v>45933</v>
      </c>
      <c r="B4" s="2" t="s">
        <v>10</v>
      </c>
      <c r="C4" s="2" t="s">
        <v>11</v>
      </c>
      <c r="D4" s="1">
        <v>5</v>
      </c>
      <c r="E4" s="13">
        <v>50</v>
      </c>
      <c r="F4" s="4">
        <v>250</v>
      </c>
    </row>
    <row r="5" spans="1:6" x14ac:dyDescent="0.3">
      <c r="A5" s="3">
        <v>45934</v>
      </c>
      <c r="B5" s="2" t="s">
        <v>12</v>
      </c>
      <c r="C5" s="2" t="s">
        <v>7</v>
      </c>
      <c r="D5" s="1">
        <v>12</v>
      </c>
      <c r="E5" s="13">
        <v>20</v>
      </c>
      <c r="F5" s="4">
        <v>240</v>
      </c>
    </row>
    <row r="6" spans="1:6" x14ac:dyDescent="0.3">
      <c r="A6" s="3">
        <v>45935</v>
      </c>
      <c r="B6" s="2" t="s">
        <v>6</v>
      </c>
      <c r="C6" s="2" t="s">
        <v>9</v>
      </c>
      <c r="D6" s="1">
        <v>15</v>
      </c>
      <c r="E6" s="13">
        <v>30</v>
      </c>
      <c r="F6" s="4">
        <v>450</v>
      </c>
    </row>
    <row r="7" spans="1:6" x14ac:dyDescent="0.3">
      <c r="A7" s="3">
        <v>45936</v>
      </c>
      <c r="B7" s="2" t="s">
        <v>8</v>
      </c>
      <c r="C7" s="2" t="s">
        <v>11</v>
      </c>
      <c r="D7" s="1"/>
      <c r="E7" s="13">
        <v>50</v>
      </c>
      <c r="F7" s="4">
        <v>300</v>
      </c>
    </row>
    <row r="8" spans="1:6" x14ac:dyDescent="0.3">
      <c r="A8" s="3">
        <v>45937</v>
      </c>
      <c r="B8" s="2" t="s">
        <v>10</v>
      </c>
      <c r="C8" s="2" t="s">
        <v>7</v>
      </c>
      <c r="D8" s="1">
        <v>20</v>
      </c>
      <c r="E8" s="13">
        <v>20</v>
      </c>
      <c r="F8" s="4">
        <v>400</v>
      </c>
    </row>
    <row r="9" spans="1:6" x14ac:dyDescent="0.3">
      <c r="A9" s="3">
        <v>45938</v>
      </c>
      <c r="B9" s="2" t="s">
        <v>12</v>
      </c>
      <c r="C9" s="2" t="s">
        <v>9</v>
      </c>
      <c r="D9" s="1">
        <v>7</v>
      </c>
      <c r="E9" s="13">
        <v>30</v>
      </c>
      <c r="F9" s="4">
        <v>210</v>
      </c>
    </row>
    <row r="10" spans="1:6" x14ac:dyDescent="0.3">
      <c r="A10" s="3">
        <v>45939</v>
      </c>
      <c r="B10" s="2" t="s">
        <v>6</v>
      </c>
      <c r="C10" s="2" t="s">
        <v>11</v>
      </c>
      <c r="D10" s="1">
        <v>9</v>
      </c>
      <c r="E10" s="13">
        <v>50</v>
      </c>
      <c r="F10" s="4">
        <v>450</v>
      </c>
    </row>
    <row r="11" spans="1:6" x14ac:dyDescent="0.3">
      <c r="A11" s="3">
        <v>45940</v>
      </c>
      <c r="B11" s="2" t="s">
        <v>8</v>
      </c>
      <c r="C11" s="2" t="s">
        <v>7</v>
      </c>
      <c r="D11" s="1">
        <v>11</v>
      </c>
      <c r="E11" s="13">
        <v>20</v>
      </c>
      <c r="F11" s="4">
        <v>220</v>
      </c>
    </row>
    <row r="12" spans="1:6" x14ac:dyDescent="0.3">
      <c r="A12" s="3">
        <v>45941</v>
      </c>
      <c r="B12" s="2" t="s">
        <v>10</v>
      </c>
      <c r="C12" s="2" t="s">
        <v>9</v>
      </c>
      <c r="D12" s="1">
        <v>14</v>
      </c>
      <c r="E12" s="13">
        <v>30</v>
      </c>
      <c r="F12" s="4">
        <v>420</v>
      </c>
    </row>
    <row r="13" spans="1:6" x14ac:dyDescent="0.3">
      <c r="A13" s="3">
        <v>45942</v>
      </c>
      <c r="B13" s="2" t="s">
        <v>12</v>
      </c>
      <c r="C13" s="2" t="s">
        <v>11</v>
      </c>
      <c r="D13" s="1">
        <v>6</v>
      </c>
      <c r="E13" s="13">
        <v>50</v>
      </c>
      <c r="F13" s="4">
        <v>300</v>
      </c>
    </row>
    <row r="14" spans="1:6" x14ac:dyDescent="0.3">
      <c r="A14" s="3">
        <v>45943</v>
      </c>
      <c r="B14" s="2" t="s">
        <v>6</v>
      </c>
      <c r="C14" s="2" t="s">
        <v>7</v>
      </c>
      <c r="D14" s="1">
        <v>13</v>
      </c>
      <c r="E14" s="13">
        <v>20</v>
      </c>
      <c r="F14" s="4">
        <v>260</v>
      </c>
    </row>
    <row r="15" spans="1:6" x14ac:dyDescent="0.3">
      <c r="A15" s="3">
        <v>45944</v>
      </c>
      <c r="B15" s="2" t="s">
        <v>8</v>
      </c>
      <c r="C15" s="2" t="s">
        <v>9</v>
      </c>
      <c r="D15" s="1">
        <v>10</v>
      </c>
      <c r="E15" s="13">
        <v>30</v>
      </c>
      <c r="F15" s="4">
        <v>300</v>
      </c>
    </row>
    <row r="16" spans="1:6" x14ac:dyDescent="0.3">
      <c r="A16" s="3">
        <v>45945</v>
      </c>
      <c r="B16" s="2" t="s">
        <v>10</v>
      </c>
      <c r="C16" s="2" t="s">
        <v>11</v>
      </c>
      <c r="D16" s="1">
        <v>8</v>
      </c>
      <c r="E16" s="13">
        <v>50</v>
      </c>
      <c r="F16" s="4">
        <v>400</v>
      </c>
    </row>
    <row r="17" spans="1:6" x14ac:dyDescent="0.3">
      <c r="A17" s="3">
        <v>45946</v>
      </c>
      <c r="B17" s="2" t="s">
        <v>12</v>
      </c>
      <c r="C17" s="2" t="s">
        <v>7</v>
      </c>
      <c r="D17" s="1"/>
      <c r="E17" s="13">
        <v>20</v>
      </c>
      <c r="F17" s="4">
        <v>200</v>
      </c>
    </row>
    <row r="18" spans="1:6" x14ac:dyDescent="0.3">
      <c r="A18" s="3">
        <v>45947</v>
      </c>
      <c r="B18" s="2" t="s">
        <v>6</v>
      </c>
      <c r="C18" s="2" t="s">
        <v>9</v>
      </c>
      <c r="D18" s="1">
        <v>16</v>
      </c>
      <c r="E18" s="13">
        <v>30</v>
      </c>
      <c r="F18" s="4">
        <v>480</v>
      </c>
    </row>
    <row r="19" spans="1:6" x14ac:dyDescent="0.3">
      <c r="A19" s="3">
        <v>45948</v>
      </c>
      <c r="B19" s="2" t="s">
        <v>8</v>
      </c>
      <c r="C19" s="2" t="s">
        <v>11</v>
      </c>
      <c r="D19" s="1">
        <v>7</v>
      </c>
      <c r="E19" s="13">
        <v>50</v>
      </c>
      <c r="F19" s="4">
        <v>350</v>
      </c>
    </row>
    <row r="20" spans="1:6" x14ac:dyDescent="0.3">
      <c r="A20" s="3">
        <v>45949</v>
      </c>
      <c r="B20" s="2" t="s">
        <v>10</v>
      </c>
      <c r="C20" s="2" t="s">
        <v>7</v>
      </c>
      <c r="D20" s="1">
        <v>18</v>
      </c>
      <c r="E20" s="13">
        <v>20</v>
      </c>
      <c r="F20" s="4">
        <v>360</v>
      </c>
    </row>
    <row r="21" spans="1:6" x14ac:dyDescent="0.3">
      <c r="A21" s="3">
        <v>45950</v>
      </c>
      <c r="B21" s="2" t="s">
        <v>12</v>
      </c>
      <c r="C21" s="2" t="s">
        <v>9</v>
      </c>
      <c r="D21" s="1">
        <v>9</v>
      </c>
      <c r="E21" s="13">
        <v>30</v>
      </c>
      <c r="F21" s="4">
        <v>270</v>
      </c>
    </row>
    <row r="22" spans="1:6" x14ac:dyDescent="0.3">
      <c r="A22" s="3">
        <v>45951</v>
      </c>
      <c r="B22" s="2" t="s">
        <v>6</v>
      </c>
      <c r="C22" s="2" t="s">
        <v>11</v>
      </c>
      <c r="D22" s="1">
        <v>10</v>
      </c>
      <c r="E22" s="13">
        <v>50</v>
      </c>
      <c r="F22" s="4">
        <v>500</v>
      </c>
    </row>
    <row r="23" spans="1:6" x14ac:dyDescent="0.3">
      <c r="A23" s="3">
        <v>45952</v>
      </c>
      <c r="B23" s="2" t="s">
        <v>8</v>
      </c>
      <c r="C23" s="2" t="s">
        <v>7</v>
      </c>
      <c r="D23" s="1">
        <v>12</v>
      </c>
      <c r="E23" s="13">
        <v>20</v>
      </c>
      <c r="F23" s="4">
        <v>240</v>
      </c>
    </row>
    <row r="24" spans="1:6" x14ac:dyDescent="0.3">
      <c r="A24" s="3">
        <v>45953</v>
      </c>
      <c r="B24" s="2" t="s">
        <v>10</v>
      </c>
      <c r="C24" s="2" t="s">
        <v>9</v>
      </c>
      <c r="D24" s="1">
        <v>11</v>
      </c>
      <c r="E24" s="13">
        <v>30</v>
      </c>
      <c r="F24" s="4">
        <v>330</v>
      </c>
    </row>
    <row r="25" spans="1:6" x14ac:dyDescent="0.3">
      <c r="A25" s="3">
        <v>45954</v>
      </c>
      <c r="B25" s="2" t="s">
        <v>12</v>
      </c>
      <c r="C25" s="2" t="s">
        <v>11</v>
      </c>
      <c r="D25" s="1">
        <v>5</v>
      </c>
      <c r="E25" s="13">
        <v>50</v>
      </c>
      <c r="F25" s="4">
        <v>250</v>
      </c>
    </row>
    <row r="26" spans="1:6" x14ac:dyDescent="0.3">
      <c r="A26" s="3">
        <v>45955</v>
      </c>
      <c r="B26" s="2" t="s">
        <v>6</v>
      </c>
      <c r="C26" s="2" t="s">
        <v>7</v>
      </c>
      <c r="D26" s="1">
        <v>14</v>
      </c>
      <c r="E26" s="13">
        <v>20</v>
      </c>
      <c r="F26" s="4">
        <v>280</v>
      </c>
    </row>
    <row r="27" spans="1:6" x14ac:dyDescent="0.3">
      <c r="A27" s="3">
        <v>45956</v>
      </c>
      <c r="B27" s="2" t="s">
        <v>8</v>
      </c>
      <c r="C27" s="2" t="s">
        <v>9</v>
      </c>
      <c r="D27" s="1"/>
      <c r="E27" s="13">
        <v>30</v>
      </c>
      <c r="F27" s="4">
        <v>300</v>
      </c>
    </row>
    <row r="28" spans="1:6" x14ac:dyDescent="0.3">
      <c r="A28" s="3">
        <v>45957</v>
      </c>
      <c r="B28" s="2" t="s">
        <v>10</v>
      </c>
      <c r="C28" s="2" t="s">
        <v>11</v>
      </c>
      <c r="D28" s="1">
        <v>6</v>
      </c>
      <c r="E28" s="13">
        <v>50</v>
      </c>
      <c r="F28" s="4">
        <v>300</v>
      </c>
    </row>
    <row r="29" spans="1:6" x14ac:dyDescent="0.3">
      <c r="A29" s="3">
        <v>45958</v>
      </c>
      <c r="B29" s="2" t="s">
        <v>12</v>
      </c>
      <c r="C29" s="2" t="s">
        <v>7</v>
      </c>
      <c r="D29" s="1">
        <v>15</v>
      </c>
      <c r="E29" s="13">
        <v>20</v>
      </c>
      <c r="F29" s="4">
        <v>300</v>
      </c>
    </row>
    <row r="30" spans="1:6" x14ac:dyDescent="0.3">
      <c r="A30" s="3">
        <v>45959</v>
      </c>
      <c r="B30" s="2" t="s">
        <v>6</v>
      </c>
      <c r="C30" s="2" t="s">
        <v>9</v>
      </c>
      <c r="D30" s="1">
        <v>13</v>
      </c>
      <c r="E30" s="13">
        <v>30</v>
      </c>
      <c r="F30" s="4">
        <v>390</v>
      </c>
    </row>
    <row r="31" spans="1:6" x14ac:dyDescent="0.3">
      <c r="A31" s="3">
        <v>45960</v>
      </c>
      <c r="B31" s="2" t="s">
        <v>8</v>
      </c>
      <c r="C31" s="2" t="s">
        <v>11</v>
      </c>
      <c r="D31" s="1">
        <v>8</v>
      </c>
      <c r="E31" s="13">
        <v>50</v>
      </c>
      <c r="F31" s="4">
        <v>400</v>
      </c>
    </row>
    <row r="32" spans="1:6" x14ac:dyDescent="0.3">
      <c r="A32" s="8">
        <v>45931</v>
      </c>
      <c r="B32" s="9" t="s">
        <v>6</v>
      </c>
      <c r="C32" s="9" t="s">
        <v>7</v>
      </c>
      <c r="D32" s="10">
        <v>10</v>
      </c>
      <c r="E32" s="14">
        <v>20</v>
      </c>
      <c r="F32" s="11">
        <v>200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5E4D2-7886-454F-8ACB-3B37F915E28B}">
  <dimension ref="A1:G31"/>
  <sheetViews>
    <sheetView zoomScale="82" workbookViewId="0">
      <selection activeCell="D29" sqref="D29"/>
    </sheetView>
  </sheetViews>
  <sheetFormatPr defaultRowHeight="14.4" x14ac:dyDescent="0.3"/>
  <cols>
    <col min="1" max="1" width="16.44140625" customWidth="1"/>
    <col min="2" max="2" width="14" customWidth="1"/>
    <col min="3" max="3" width="17" customWidth="1"/>
    <col min="4" max="4" width="15.88671875" customWidth="1"/>
    <col min="5" max="5" width="17.109375" customWidth="1"/>
    <col min="6" max="6" width="17" customWidth="1"/>
    <col min="7" max="7" width="17.109375" bestFit="1" customWidth="1"/>
    <col min="9" max="9" width="9.6640625" bestFit="1" customWidth="1"/>
  </cols>
  <sheetData>
    <row r="1" spans="1:7" x14ac:dyDescent="0.3">
      <c r="A1" s="5" t="s">
        <v>0</v>
      </c>
      <c r="B1" s="6" t="s">
        <v>1</v>
      </c>
      <c r="C1" s="6" t="s">
        <v>2</v>
      </c>
      <c r="D1" s="15" t="s">
        <v>3</v>
      </c>
      <c r="E1" s="15" t="s">
        <v>4</v>
      </c>
      <c r="F1" s="16" t="s">
        <v>5</v>
      </c>
      <c r="G1" s="15" t="s">
        <v>13</v>
      </c>
    </row>
    <row r="2" spans="1:7" x14ac:dyDescent="0.3">
      <c r="A2" s="3">
        <v>45931</v>
      </c>
      <c r="B2" s="2" t="s">
        <v>6</v>
      </c>
      <c r="C2" s="2" t="s">
        <v>7</v>
      </c>
      <c r="D2" s="17">
        <v>10</v>
      </c>
      <c r="E2" s="17">
        <v>20</v>
      </c>
      <c r="F2" s="18">
        <f>Table3[[#This Row],[ Quantity ]]*Table3[[#This Row],[ Unit Price ]]</f>
        <v>200</v>
      </c>
      <c r="G2" s="17">
        <f>IFERROR(Table3[[#This Row],[ Quantity ]]*Table3[[#This Row],[ Unit Price ]],"ERROR")</f>
        <v>200</v>
      </c>
    </row>
    <row r="3" spans="1:7" x14ac:dyDescent="0.3">
      <c r="A3" s="3">
        <v>45932</v>
      </c>
      <c r="B3" s="2" t="s">
        <v>8</v>
      </c>
      <c r="C3" s="2" t="s">
        <v>9</v>
      </c>
      <c r="D3" s="17">
        <v>8</v>
      </c>
      <c r="E3" s="17">
        <v>30</v>
      </c>
      <c r="F3" s="18">
        <f>Table3[[#This Row],[ Quantity ]]*Table3[[#This Row],[ Unit Price ]]</f>
        <v>240</v>
      </c>
      <c r="G3" s="17">
        <f>IFERROR(Table3[[#This Row],[ Quantity ]]*Table3[[#This Row],[ Unit Price ]],"ERROR")</f>
        <v>240</v>
      </c>
    </row>
    <row r="4" spans="1:7" x14ac:dyDescent="0.3">
      <c r="A4" s="3">
        <v>45933</v>
      </c>
      <c r="B4" s="2" t="s">
        <v>10</v>
      </c>
      <c r="C4" s="2" t="s">
        <v>11</v>
      </c>
      <c r="D4" s="17">
        <v>5</v>
      </c>
      <c r="E4" s="17">
        <v>50</v>
      </c>
      <c r="F4" s="18">
        <f>Table3[[#This Row],[ Quantity ]]*Table3[[#This Row],[ Unit Price ]]</f>
        <v>250</v>
      </c>
      <c r="G4" s="17">
        <f>IFERROR(Table3[[#This Row],[ Quantity ]]*Table3[[#This Row],[ Unit Price ]],"ERROR")</f>
        <v>250</v>
      </c>
    </row>
    <row r="5" spans="1:7" x14ac:dyDescent="0.3">
      <c r="A5" s="3">
        <v>45934</v>
      </c>
      <c r="B5" s="2" t="s">
        <v>12</v>
      </c>
      <c r="C5" s="2" t="s">
        <v>7</v>
      </c>
      <c r="D5" s="17">
        <v>12</v>
      </c>
      <c r="E5" s="17">
        <v>20</v>
      </c>
      <c r="F5" s="18">
        <f>Table3[[#This Row],[ Quantity ]]*Table3[[#This Row],[ Unit Price ]]</f>
        <v>240</v>
      </c>
      <c r="G5" s="17">
        <f>IFERROR(Table3[[#This Row],[ Quantity ]]*Table3[[#This Row],[ Unit Price ]],"ERROR")</f>
        <v>240</v>
      </c>
    </row>
    <row r="6" spans="1:7" x14ac:dyDescent="0.3">
      <c r="A6" s="3">
        <v>45935</v>
      </c>
      <c r="B6" s="2" t="s">
        <v>6</v>
      </c>
      <c r="C6" s="2" t="s">
        <v>9</v>
      </c>
      <c r="D6" s="17">
        <v>15</v>
      </c>
      <c r="E6" s="17">
        <v>30</v>
      </c>
      <c r="F6" s="18">
        <f>Table3[[#This Row],[ Quantity ]]*Table3[[#This Row],[ Unit Price ]]</f>
        <v>450</v>
      </c>
      <c r="G6" s="17">
        <f>IFERROR(Table3[[#This Row],[ Quantity ]]*Table3[[#This Row],[ Unit Price ]],"ERROR")</f>
        <v>450</v>
      </c>
    </row>
    <row r="7" spans="1:7" x14ac:dyDescent="0.3">
      <c r="A7" s="3">
        <v>45936</v>
      </c>
      <c r="B7" s="2" t="s">
        <v>8</v>
      </c>
      <c r="C7" s="2" t="s">
        <v>11</v>
      </c>
      <c r="D7" s="17">
        <v>10</v>
      </c>
      <c r="E7" s="17">
        <v>50</v>
      </c>
      <c r="F7" s="18">
        <f>Table3[[#This Row],[ Quantity ]]*Table3[[#This Row],[ Unit Price ]]</f>
        <v>500</v>
      </c>
      <c r="G7" s="17">
        <f>IFERROR(Table3[[#This Row],[ Quantity ]]*Table3[[#This Row],[ Unit Price ]],"ERROR")</f>
        <v>500</v>
      </c>
    </row>
    <row r="8" spans="1:7" x14ac:dyDescent="0.3">
      <c r="A8" s="3">
        <v>45937</v>
      </c>
      <c r="B8" s="2" t="s">
        <v>10</v>
      </c>
      <c r="C8" s="2" t="s">
        <v>7</v>
      </c>
      <c r="D8" s="17">
        <v>20</v>
      </c>
      <c r="E8" s="17">
        <v>20</v>
      </c>
      <c r="F8" s="18">
        <f>Table3[[#This Row],[ Quantity ]]*Table3[[#This Row],[ Unit Price ]]</f>
        <v>400</v>
      </c>
      <c r="G8" s="17">
        <f>IFERROR(Table3[[#This Row],[ Quantity ]]*Table3[[#This Row],[ Unit Price ]],"ERROR")</f>
        <v>400</v>
      </c>
    </row>
    <row r="9" spans="1:7" x14ac:dyDescent="0.3">
      <c r="A9" s="3">
        <v>45938</v>
      </c>
      <c r="B9" s="2" t="s">
        <v>12</v>
      </c>
      <c r="C9" s="2" t="s">
        <v>9</v>
      </c>
      <c r="D9" s="17">
        <v>7</v>
      </c>
      <c r="E9" s="17">
        <v>30</v>
      </c>
      <c r="F9" s="18">
        <f>Table3[[#This Row],[ Quantity ]]*Table3[[#This Row],[ Unit Price ]]</f>
        <v>210</v>
      </c>
      <c r="G9" s="17">
        <f>IFERROR(Table3[[#This Row],[ Quantity ]]*Table3[[#This Row],[ Unit Price ]],"ERROR")</f>
        <v>210</v>
      </c>
    </row>
    <row r="10" spans="1:7" x14ac:dyDescent="0.3">
      <c r="A10" s="3">
        <v>45939</v>
      </c>
      <c r="B10" s="2" t="s">
        <v>6</v>
      </c>
      <c r="C10" s="2" t="s">
        <v>11</v>
      </c>
      <c r="D10" s="17">
        <v>9</v>
      </c>
      <c r="E10" s="17">
        <v>50</v>
      </c>
      <c r="F10" s="18">
        <f>Table3[[#This Row],[ Quantity ]]*Table3[[#This Row],[ Unit Price ]]</f>
        <v>450</v>
      </c>
      <c r="G10" s="17">
        <f>IFERROR(Table3[[#This Row],[ Quantity ]]*Table3[[#This Row],[ Unit Price ]],"ERROR")</f>
        <v>450</v>
      </c>
    </row>
    <row r="11" spans="1:7" x14ac:dyDescent="0.3">
      <c r="A11" s="3">
        <v>45940</v>
      </c>
      <c r="B11" s="2" t="s">
        <v>8</v>
      </c>
      <c r="C11" s="2" t="s">
        <v>7</v>
      </c>
      <c r="D11" s="17">
        <v>11</v>
      </c>
      <c r="E11" s="17">
        <v>20</v>
      </c>
      <c r="F11" s="18">
        <f>Table3[[#This Row],[ Quantity ]]*Table3[[#This Row],[ Unit Price ]]</f>
        <v>220</v>
      </c>
      <c r="G11" s="17">
        <f>IFERROR(Table3[[#This Row],[ Quantity ]]*Table3[[#This Row],[ Unit Price ]],"ERROR")</f>
        <v>220</v>
      </c>
    </row>
    <row r="12" spans="1:7" x14ac:dyDescent="0.3">
      <c r="A12" s="3">
        <v>45941</v>
      </c>
      <c r="B12" s="2" t="s">
        <v>10</v>
      </c>
      <c r="C12" s="2" t="s">
        <v>9</v>
      </c>
      <c r="D12" s="17">
        <v>14</v>
      </c>
      <c r="E12" s="17">
        <v>30</v>
      </c>
      <c r="F12" s="18">
        <f>Table3[[#This Row],[ Quantity ]]*Table3[[#This Row],[ Unit Price ]]</f>
        <v>420</v>
      </c>
      <c r="G12" s="17">
        <f>IFERROR(Table3[[#This Row],[ Quantity ]]*Table3[[#This Row],[ Unit Price ]],"ERROR")</f>
        <v>420</v>
      </c>
    </row>
    <row r="13" spans="1:7" x14ac:dyDescent="0.3">
      <c r="A13" s="3">
        <v>45942</v>
      </c>
      <c r="B13" s="2" t="s">
        <v>12</v>
      </c>
      <c r="C13" s="2" t="s">
        <v>11</v>
      </c>
      <c r="D13" s="17">
        <v>6</v>
      </c>
      <c r="E13" s="17">
        <v>50</v>
      </c>
      <c r="F13" s="18">
        <f>Table3[[#This Row],[ Quantity ]]*Table3[[#This Row],[ Unit Price ]]</f>
        <v>300</v>
      </c>
      <c r="G13" s="17">
        <f>IFERROR(Table3[[#This Row],[ Quantity ]]*Table3[[#This Row],[ Unit Price ]],"ERROR")</f>
        <v>300</v>
      </c>
    </row>
    <row r="14" spans="1:7" x14ac:dyDescent="0.3">
      <c r="A14" s="3">
        <v>45943</v>
      </c>
      <c r="B14" s="2" t="s">
        <v>6</v>
      </c>
      <c r="C14" s="2" t="s">
        <v>7</v>
      </c>
      <c r="D14" s="17">
        <v>13</v>
      </c>
      <c r="E14" s="17">
        <v>20</v>
      </c>
      <c r="F14" s="18">
        <f>Table3[[#This Row],[ Quantity ]]*Table3[[#This Row],[ Unit Price ]]</f>
        <v>260</v>
      </c>
      <c r="G14" s="17">
        <f>IFERROR(Table3[[#This Row],[ Quantity ]]*Table3[[#This Row],[ Unit Price ]],"ERROR")</f>
        <v>260</v>
      </c>
    </row>
    <row r="15" spans="1:7" x14ac:dyDescent="0.3">
      <c r="A15" s="3">
        <v>45944</v>
      </c>
      <c r="B15" s="2" t="s">
        <v>8</v>
      </c>
      <c r="C15" s="2" t="s">
        <v>9</v>
      </c>
      <c r="D15" s="17">
        <v>10</v>
      </c>
      <c r="E15" s="17">
        <v>30</v>
      </c>
      <c r="F15" s="18">
        <f>Table3[[#This Row],[ Quantity ]]*Table3[[#This Row],[ Unit Price ]]</f>
        <v>300</v>
      </c>
      <c r="G15" s="17">
        <f>IFERROR(Table3[[#This Row],[ Quantity ]]*Table3[[#This Row],[ Unit Price ]],"ERROR")</f>
        <v>300</v>
      </c>
    </row>
    <row r="16" spans="1:7" x14ac:dyDescent="0.3">
      <c r="A16" s="3">
        <v>45945</v>
      </c>
      <c r="B16" s="2" t="s">
        <v>10</v>
      </c>
      <c r="C16" s="2" t="s">
        <v>11</v>
      </c>
      <c r="D16" s="17">
        <v>8</v>
      </c>
      <c r="E16" s="17">
        <v>50</v>
      </c>
      <c r="F16" s="18">
        <f>Table3[[#This Row],[ Quantity ]]*Table3[[#This Row],[ Unit Price ]]</f>
        <v>400</v>
      </c>
      <c r="G16" s="17">
        <f>IFERROR(Table3[[#This Row],[ Quantity ]]*Table3[[#This Row],[ Unit Price ]],"ERROR")</f>
        <v>400</v>
      </c>
    </row>
    <row r="17" spans="1:7" x14ac:dyDescent="0.3">
      <c r="A17" s="3">
        <v>45946</v>
      </c>
      <c r="B17" s="2" t="s">
        <v>12</v>
      </c>
      <c r="C17" s="2" t="s">
        <v>7</v>
      </c>
      <c r="D17" s="17">
        <v>10</v>
      </c>
      <c r="E17" s="17">
        <v>20</v>
      </c>
      <c r="F17" s="18">
        <f>Table3[[#This Row],[ Quantity ]]*Table3[[#This Row],[ Unit Price ]]</f>
        <v>200</v>
      </c>
      <c r="G17" s="17">
        <f>IFERROR(Table3[[#This Row],[ Quantity ]]*Table3[[#This Row],[ Unit Price ]],"ERROR")</f>
        <v>200</v>
      </c>
    </row>
    <row r="18" spans="1:7" x14ac:dyDescent="0.3">
      <c r="A18" s="3">
        <v>45947</v>
      </c>
      <c r="B18" s="2" t="s">
        <v>6</v>
      </c>
      <c r="C18" s="2" t="s">
        <v>9</v>
      </c>
      <c r="D18" s="17">
        <v>16</v>
      </c>
      <c r="E18" s="17">
        <v>30</v>
      </c>
      <c r="F18" s="18">
        <f>Table3[[#This Row],[ Quantity ]]*Table3[[#This Row],[ Unit Price ]]</f>
        <v>480</v>
      </c>
      <c r="G18" s="17">
        <f>IFERROR(Table3[[#This Row],[ Quantity ]]*Table3[[#This Row],[ Unit Price ]],"ERROR")</f>
        <v>480</v>
      </c>
    </row>
    <row r="19" spans="1:7" x14ac:dyDescent="0.3">
      <c r="A19" s="3">
        <v>45948</v>
      </c>
      <c r="B19" s="2" t="s">
        <v>8</v>
      </c>
      <c r="C19" s="2" t="s">
        <v>11</v>
      </c>
      <c r="D19" s="17">
        <v>7</v>
      </c>
      <c r="E19" s="17">
        <v>50</v>
      </c>
      <c r="F19" s="18">
        <f>Table3[[#This Row],[ Quantity ]]*Table3[[#This Row],[ Unit Price ]]</f>
        <v>350</v>
      </c>
      <c r="G19" s="17">
        <f>IFERROR(Table3[[#This Row],[ Quantity ]]*Table3[[#This Row],[ Unit Price ]],"ERROR")</f>
        <v>350</v>
      </c>
    </row>
    <row r="20" spans="1:7" x14ac:dyDescent="0.3">
      <c r="A20" s="3">
        <v>45949</v>
      </c>
      <c r="B20" s="2" t="s">
        <v>10</v>
      </c>
      <c r="C20" s="2" t="s">
        <v>7</v>
      </c>
      <c r="D20" s="17">
        <v>18</v>
      </c>
      <c r="E20" s="17">
        <v>20</v>
      </c>
      <c r="F20" s="18">
        <f>Table3[[#This Row],[ Quantity ]]*Table3[[#This Row],[ Unit Price ]]</f>
        <v>360</v>
      </c>
      <c r="G20" s="17">
        <f>IFERROR(Table3[[#This Row],[ Quantity ]]*Table3[[#This Row],[ Unit Price ]],"ERROR")</f>
        <v>360</v>
      </c>
    </row>
    <row r="21" spans="1:7" x14ac:dyDescent="0.3">
      <c r="A21" s="3">
        <v>45950</v>
      </c>
      <c r="B21" s="2" t="s">
        <v>12</v>
      </c>
      <c r="C21" s="2" t="s">
        <v>9</v>
      </c>
      <c r="D21" s="17">
        <v>9</v>
      </c>
      <c r="E21" s="17">
        <v>30</v>
      </c>
      <c r="F21" s="18">
        <f>Table3[[#This Row],[ Quantity ]]*Table3[[#This Row],[ Unit Price ]]</f>
        <v>270</v>
      </c>
      <c r="G21" s="17">
        <f>IFERROR(Table3[[#This Row],[ Quantity ]]*Table3[[#This Row],[ Unit Price ]],"ERROR")</f>
        <v>270</v>
      </c>
    </row>
    <row r="22" spans="1:7" x14ac:dyDescent="0.3">
      <c r="A22" s="3">
        <v>45951</v>
      </c>
      <c r="B22" s="2" t="s">
        <v>6</v>
      </c>
      <c r="C22" s="2" t="s">
        <v>11</v>
      </c>
      <c r="D22" s="17">
        <v>10</v>
      </c>
      <c r="E22" s="17">
        <v>50</v>
      </c>
      <c r="F22" s="18">
        <f>Table3[[#This Row],[ Quantity ]]*Table3[[#This Row],[ Unit Price ]]</f>
        <v>500</v>
      </c>
      <c r="G22" s="17">
        <f>IFERROR(Table3[[#This Row],[ Quantity ]]*Table3[[#This Row],[ Unit Price ]],"ERROR")</f>
        <v>500</v>
      </c>
    </row>
    <row r="23" spans="1:7" x14ac:dyDescent="0.3">
      <c r="A23" s="3">
        <v>45952</v>
      </c>
      <c r="B23" s="2" t="s">
        <v>8</v>
      </c>
      <c r="C23" s="2" t="s">
        <v>7</v>
      </c>
      <c r="D23" s="17">
        <v>12</v>
      </c>
      <c r="E23" s="17">
        <v>20</v>
      </c>
      <c r="F23" s="18">
        <f>Table3[[#This Row],[ Quantity ]]*Table3[[#This Row],[ Unit Price ]]</f>
        <v>240</v>
      </c>
      <c r="G23" s="17">
        <f>IFERROR(Table3[[#This Row],[ Quantity ]]*Table3[[#This Row],[ Unit Price ]],"ERROR")</f>
        <v>240</v>
      </c>
    </row>
    <row r="24" spans="1:7" x14ac:dyDescent="0.3">
      <c r="A24" s="3">
        <v>45953</v>
      </c>
      <c r="B24" s="2" t="s">
        <v>10</v>
      </c>
      <c r="C24" s="2" t="s">
        <v>9</v>
      </c>
      <c r="D24" s="17">
        <v>11</v>
      </c>
      <c r="E24" s="17">
        <v>30</v>
      </c>
      <c r="F24" s="18">
        <f>Table3[[#This Row],[ Quantity ]]*Table3[[#This Row],[ Unit Price ]]</f>
        <v>330</v>
      </c>
      <c r="G24" s="17">
        <f>IFERROR(Table3[[#This Row],[ Quantity ]]*Table3[[#This Row],[ Unit Price ]],"ERROR")</f>
        <v>330</v>
      </c>
    </row>
    <row r="25" spans="1:7" x14ac:dyDescent="0.3">
      <c r="A25" s="3">
        <v>45954</v>
      </c>
      <c r="B25" s="2" t="s">
        <v>12</v>
      </c>
      <c r="C25" s="2" t="s">
        <v>11</v>
      </c>
      <c r="D25" s="17">
        <v>5</v>
      </c>
      <c r="E25" s="17">
        <v>50</v>
      </c>
      <c r="F25" s="18">
        <f>Table3[[#This Row],[ Quantity ]]*Table3[[#This Row],[ Unit Price ]]</f>
        <v>250</v>
      </c>
      <c r="G25" s="17">
        <f>IFERROR(Table3[[#This Row],[ Quantity ]]*Table3[[#This Row],[ Unit Price ]],"ERROR")</f>
        <v>250</v>
      </c>
    </row>
    <row r="26" spans="1:7" x14ac:dyDescent="0.3">
      <c r="A26" s="3">
        <v>45955</v>
      </c>
      <c r="B26" s="2" t="s">
        <v>6</v>
      </c>
      <c r="C26" s="2" t="s">
        <v>7</v>
      </c>
      <c r="D26" s="17">
        <v>14</v>
      </c>
      <c r="E26" s="17">
        <v>20</v>
      </c>
      <c r="F26" s="18">
        <f>Table3[[#This Row],[ Quantity ]]*Table3[[#This Row],[ Unit Price ]]</f>
        <v>280</v>
      </c>
      <c r="G26" s="17">
        <f>IFERROR(Table3[[#This Row],[ Quantity ]]*Table3[[#This Row],[ Unit Price ]],"ERROR")</f>
        <v>280</v>
      </c>
    </row>
    <row r="27" spans="1:7" x14ac:dyDescent="0.3">
      <c r="A27" s="3">
        <v>45956</v>
      </c>
      <c r="B27" s="2" t="s">
        <v>8</v>
      </c>
      <c r="C27" s="2" t="s">
        <v>9</v>
      </c>
      <c r="D27" s="17">
        <v>10</v>
      </c>
      <c r="E27" s="17">
        <v>30</v>
      </c>
      <c r="F27" s="18">
        <f>Table3[[#This Row],[ Quantity ]]*Table3[[#This Row],[ Unit Price ]]</f>
        <v>300</v>
      </c>
      <c r="G27" s="17">
        <f>IFERROR(Table3[[#This Row],[ Quantity ]]*Table3[[#This Row],[ Unit Price ]],"ERROR")</f>
        <v>300</v>
      </c>
    </row>
    <row r="28" spans="1:7" x14ac:dyDescent="0.3">
      <c r="A28" s="3">
        <v>45957</v>
      </c>
      <c r="B28" s="2" t="s">
        <v>10</v>
      </c>
      <c r="C28" s="2" t="s">
        <v>11</v>
      </c>
      <c r="D28" s="17">
        <v>6</v>
      </c>
      <c r="E28" s="17">
        <v>50</v>
      </c>
      <c r="F28" s="18">
        <f>Table3[[#This Row],[ Quantity ]]*Table3[[#This Row],[ Unit Price ]]</f>
        <v>300</v>
      </c>
      <c r="G28" s="17">
        <f>IFERROR(Table3[[#This Row],[ Quantity ]]*Table3[[#This Row],[ Unit Price ]],"ERROR")</f>
        <v>300</v>
      </c>
    </row>
    <row r="29" spans="1:7" x14ac:dyDescent="0.3">
      <c r="A29" s="3">
        <v>45958</v>
      </c>
      <c r="B29" s="2" t="s">
        <v>12</v>
      </c>
      <c r="C29" s="2" t="s">
        <v>7</v>
      </c>
      <c r="D29" s="17">
        <v>15</v>
      </c>
      <c r="E29" s="17">
        <v>20</v>
      </c>
      <c r="F29" s="18">
        <f>Table3[[#This Row],[ Quantity ]]*Table3[[#This Row],[ Unit Price ]]</f>
        <v>300</v>
      </c>
      <c r="G29" s="17">
        <f>IFERROR(Table3[[#This Row],[ Quantity ]]*Table3[[#This Row],[ Unit Price ]],"ERROR")</f>
        <v>300</v>
      </c>
    </row>
    <row r="30" spans="1:7" x14ac:dyDescent="0.3">
      <c r="A30" s="3">
        <v>45959</v>
      </c>
      <c r="B30" s="2" t="s">
        <v>6</v>
      </c>
      <c r="C30" s="2" t="s">
        <v>9</v>
      </c>
      <c r="D30" s="17">
        <v>13</v>
      </c>
      <c r="E30" s="17">
        <v>30</v>
      </c>
      <c r="F30" s="18">
        <f>Table3[[#This Row],[ Quantity ]]*Table3[[#This Row],[ Unit Price ]]</f>
        <v>390</v>
      </c>
      <c r="G30" s="17">
        <f>IFERROR(Table3[[#This Row],[ Quantity ]]*Table3[[#This Row],[ Unit Price ]],"ERROR")</f>
        <v>390</v>
      </c>
    </row>
    <row r="31" spans="1:7" x14ac:dyDescent="0.3">
      <c r="A31" s="3">
        <v>45960</v>
      </c>
      <c r="B31" s="2" t="s">
        <v>8</v>
      </c>
      <c r="C31" s="2" t="s">
        <v>11</v>
      </c>
      <c r="D31" s="17">
        <v>8</v>
      </c>
      <c r="E31" s="17">
        <v>50</v>
      </c>
      <c r="F31" s="18">
        <f>Table3[[#This Row],[ Quantity ]]*Table3[[#This Row],[ Unit Price ]]</f>
        <v>400</v>
      </c>
      <c r="G31" s="17">
        <f>IFERROR(Table3[[#This Row],[ Quantity ]]*Table3[[#This Row],[ Unit Price ]],"ERROR")</f>
        <v>400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1B95F-1A88-4857-9FD0-09C5A5118641}">
  <dimension ref="A1:H31"/>
  <sheetViews>
    <sheetView topLeftCell="C1" zoomScale="86" workbookViewId="0">
      <selection activeCell="D15" sqref="D15"/>
    </sheetView>
  </sheetViews>
  <sheetFormatPr defaultRowHeight="14.4" x14ac:dyDescent="0.3"/>
  <cols>
    <col min="1" max="6" width="17.77734375" customWidth="1"/>
    <col min="7" max="7" width="18.6640625" customWidth="1"/>
    <col min="8" max="8" width="17.77734375" customWidth="1"/>
  </cols>
  <sheetData>
    <row r="1" spans="1:8" x14ac:dyDescent="0.3">
      <c r="A1" s="5" t="s">
        <v>0</v>
      </c>
      <c r="B1" s="6" t="s">
        <v>1</v>
      </c>
      <c r="C1" s="6" t="s">
        <v>2</v>
      </c>
      <c r="D1" s="15" t="s">
        <v>3</v>
      </c>
      <c r="E1" s="15" t="s">
        <v>4</v>
      </c>
      <c r="F1" s="16" t="s">
        <v>5</v>
      </c>
      <c r="G1" s="15" t="s">
        <v>13</v>
      </c>
      <c r="H1" s="6" t="s">
        <v>19</v>
      </c>
    </row>
    <row r="2" spans="1:8" x14ac:dyDescent="0.3">
      <c r="A2" s="3">
        <v>45931</v>
      </c>
      <c r="B2" s="2" t="s">
        <v>6</v>
      </c>
      <c r="C2" s="2" t="s">
        <v>7</v>
      </c>
      <c r="D2" s="17">
        <v>10</v>
      </c>
      <c r="E2" s="17">
        <v>20</v>
      </c>
      <c r="F2" s="18">
        <f>Table2[[#This Row],[ Quantity ]]*Table2[[#This Row],[ Unit Price ]]</f>
        <v>200</v>
      </c>
      <c r="G2" s="17">
        <f>IFERROR(Table2[[#This Row],[ Quantity ]]*Table2[[#This Row],[ Unit Price ]],"ERROR")</f>
        <v>200</v>
      </c>
      <c r="H2" s="1" t="str">
        <f>TEXT(Table2[[#This Row],[Date ]],"mmm")</f>
        <v>Oct</v>
      </c>
    </row>
    <row r="3" spans="1:8" x14ac:dyDescent="0.3">
      <c r="A3" s="3">
        <v>45932</v>
      </c>
      <c r="B3" s="2" t="s">
        <v>8</v>
      </c>
      <c r="C3" s="2" t="s">
        <v>9</v>
      </c>
      <c r="D3" s="17">
        <v>8</v>
      </c>
      <c r="E3" s="17">
        <v>30</v>
      </c>
      <c r="F3" s="18">
        <f>Table2[[#This Row],[ Quantity ]]*Table2[[#This Row],[ Unit Price ]]</f>
        <v>240</v>
      </c>
      <c r="G3" s="17">
        <f>IFERROR(Table2[[#This Row],[ Quantity ]]*Table2[[#This Row],[ Unit Price ]],"ERROR")</f>
        <v>240</v>
      </c>
      <c r="H3" s="1" t="str">
        <f>TEXT(Table2[[#This Row],[Date ]],"mmm")</f>
        <v>Oct</v>
      </c>
    </row>
    <row r="4" spans="1:8" x14ac:dyDescent="0.3">
      <c r="A4" s="3">
        <v>45933</v>
      </c>
      <c r="B4" s="2" t="s">
        <v>10</v>
      </c>
      <c r="C4" s="2" t="s">
        <v>11</v>
      </c>
      <c r="D4" s="17">
        <v>5</v>
      </c>
      <c r="E4" s="17">
        <v>50</v>
      </c>
      <c r="F4" s="18">
        <f>Table2[[#This Row],[ Quantity ]]*Table2[[#This Row],[ Unit Price ]]</f>
        <v>250</v>
      </c>
      <c r="G4" s="17">
        <f>IFERROR(Table2[[#This Row],[ Quantity ]]*Table2[[#This Row],[ Unit Price ]],"ERROR")</f>
        <v>250</v>
      </c>
      <c r="H4" s="1" t="str">
        <f>TEXT(Table2[[#This Row],[Date ]],"mmm")</f>
        <v>Oct</v>
      </c>
    </row>
    <row r="5" spans="1:8" x14ac:dyDescent="0.3">
      <c r="A5" s="3">
        <v>45965</v>
      </c>
      <c r="B5" s="2" t="s">
        <v>12</v>
      </c>
      <c r="C5" s="2" t="s">
        <v>7</v>
      </c>
      <c r="D5" s="17">
        <v>12</v>
      </c>
      <c r="E5" s="17">
        <v>20</v>
      </c>
      <c r="F5" s="18">
        <f>Table2[[#This Row],[ Quantity ]]*Table2[[#This Row],[ Unit Price ]]</f>
        <v>240</v>
      </c>
      <c r="G5" s="17">
        <f>IFERROR(Table2[[#This Row],[ Quantity ]]*Table2[[#This Row],[ Unit Price ]],"ERROR")</f>
        <v>240</v>
      </c>
      <c r="H5" s="1" t="str">
        <f>TEXT(Table2[[#This Row],[Date ]],"mmm")</f>
        <v>Nov</v>
      </c>
    </row>
    <row r="6" spans="1:8" x14ac:dyDescent="0.3">
      <c r="A6" s="3">
        <v>45966</v>
      </c>
      <c r="B6" s="2" t="s">
        <v>6</v>
      </c>
      <c r="C6" s="2" t="s">
        <v>9</v>
      </c>
      <c r="D6" s="17">
        <v>15</v>
      </c>
      <c r="E6" s="17">
        <v>30</v>
      </c>
      <c r="F6" s="18">
        <f>Table2[[#This Row],[ Quantity ]]*Table2[[#This Row],[ Unit Price ]]</f>
        <v>450</v>
      </c>
      <c r="G6" s="17">
        <f>IFERROR(Table2[[#This Row],[ Quantity ]]*Table2[[#This Row],[ Unit Price ]],"ERROR")</f>
        <v>450</v>
      </c>
      <c r="H6" s="1" t="str">
        <f>TEXT(Table2[[#This Row],[Date ]],"mmm")</f>
        <v>Nov</v>
      </c>
    </row>
    <row r="7" spans="1:8" x14ac:dyDescent="0.3">
      <c r="A7" s="3">
        <v>45967</v>
      </c>
      <c r="B7" s="2" t="s">
        <v>8</v>
      </c>
      <c r="C7" s="2" t="s">
        <v>11</v>
      </c>
      <c r="D7" s="17">
        <v>10</v>
      </c>
      <c r="E7" s="17">
        <v>50</v>
      </c>
      <c r="F7" s="18">
        <f>Table2[[#This Row],[ Quantity ]]*Table2[[#This Row],[ Unit Price ]]</f>
        <v>500</v>
      </c>
      <c r="G7" s="17">
        <f>IFERROR(Table2[[#This Row],[ Quantity ]]*Table2[[#This Row],[ Unit Price ]],"ERROR")</f>
        <v>500</v>
      </c>
      <c r="H7" s="1" t="str">
        <f>TEXT(Table2[[#This Row],[Date ]],"mmm")</f>
        <v>Nov</v>
      </c>
    </row>
    <row r="8" spans="1:8" x14ac:dyDescent="0.3">
      <c r="A8" s="3">
        <v>45968</v>
      </c>
      <c r="B8" s="2" t="s">
        <v>10</v>
      </c>
      <c r="C8" s="2" t="s">
        <v>7</v>
      </c>
      <c r="D8" s="17">
        <v>20</v>
      </c>
      <c r="E8" s="17">
        <v>20</v>
      </c>
      <c r="F8" s="18">
        <f>Table2[[#This Row],[ Quantity ]]*Table2[[#This Row],[ Unit Price ]]</f>
        <v>400</v>
      </c>
      <c r="G8" s="17">
        <f>IFERROR(Table2[[#This Row],[ Quantity ]]*Table2[[#This Row],[ Unit Price ]],"ERROR")</f>
        <v>400</v>
      </c>
      <c r="H8" s="1" t="str">
        <f>TEXT(Table2[[#This Row],[Date ]],"mmm")</f>
        <v>Nov</v>
      </c>
    </row>
    <row r="9" spans="1:8" x14ac:dyDescent="0.3">
      <c r="A9" s="3">
        <v>45969</v>
      </c>
      <c r="B9" s="2" t="s">
        <v>12</v>
      </c>
      <c r="C9" s="2" t="s">
        <v>9</v>
      </c>
      <c r="D9" s="17">
        <v>7</v>
      </c>
      <c r="E9" s="17">
        <v>30</v>
      </c>
      <c r="F9" s="18">
        <f>Table2[[#This Row],[ Quantity ]]*Table2[[#This Row],[ Unit Price ]]</f>
        <v>210</v>
      </c>
      <c r="G9" s="17">
        <f>IFERROR(Table2[[#This Row],[ Quantity ]]*Table2[[#This Row],[ Unit Price ]],"ERROR")</f>
        <v>210</v>
      </c>
      <c r="H9" s="1" t="str">
        <f>TEXT(Table2[[#This Row],[Date ]],"mmm")</f>
        <v>Nov</v>
      </c>
    </row>
    <row r="10" spans="1:8" x14ac:dyDescent="0.3">
      <c r="A10" s="3">
        <v>45970</v>
      </c>
      <c r="B10" s="2" t="s">
        <v>6</v>
      </c>
      <c r="C10" s="2" t="s">
        <v>11</v>
      </c>
      <c r="D10" s="17">
        <v>9</v>
      </c>
      <c r="E10" s="17">
        <v>50</v>
      </c>
      <c r="F10" s="18">
        <f>Table2[[#This Row],[ Quantity ]]*Table2[[#This Row],[ Unit Price ]]</f>
        <v>450</v>
      </c>
      <c r="G10" s="17">
        <f>IFERROR(Table2[[#This Row],[ Quantity ]]*Table2[[#This Row],[ Unit Price ]],"ERROR")</f>
        <v>450</v>
      </c>
      <c r="H10" s="1" t="str">
        <f>TEXT(Table2[[#This Row],[Date ]],"mmm")</f>
        <v>Nov</v>
      </c>
    </row>
    <row r="11" spans="1:8" x14ac:dyDescent="0.3">
      <c r="A11" s="3">
        <v>46001</v>
      </c>
      <c r="B11" s="2" t="s">
        <v>8</v>
      </c>
      <c r="C11" s="2" t="s">
        <v>7</v>
      </c>
      <c r="D11" s="17">
        <v>11</v>
      </c>
      <c r="E11" s="17">
        <v>20</v>
      </c>
      <c r="F11" s="18">
        <f>Table2[[#This Row],[ Quantity ]]*Table2[[#This Row],[ Unit Price ]]</f>
        <v>220</v>
      </c>
      <c r="G11" s="17">
        <f>IFERROR(Table2[[#This Row],[ Quantity ]]*Table2[[#This Row],[ Unit Price ]],"ERROR")</f>
        <v>220</v>
      </c>
      <c r="H11" s="1" t="str">
        <f>TEXT(Table2[[#This Row],[Date ]],"mmm")</f>
        <v>Dec</v>
      </c>
    </row>
    <row r="12" spans="1:8" x14ac:dyDescent="0.3">
      <c r="A12" s="3">
        <v>46002</v>
      </c>
      <c r="B12" s="2" t="s">
        <v>10</v>
      </c>
      <c r="C12" s="2" t="s">
        <v>9</v>
      </c>
      <c r="D12" s="17">
        <v>14</v>
      </c>
      <c r="E12" s="17">
        <v>30</v>
      </c>
      <c r="F12" s="18">
        <f>Table2[[#This Row],[ Quantity ]]*Table2[[#This Row],[ Unit Price ]]</f>
        <v>420</v>
      </c>
      <c r="G12" s="17">
        <f>IFERROR(Table2[[#This Row],[ Quantity ]]*Table2[[#This Row],[ Unit Price ]],"ERROR")</f>
        <v>420</v>
      </c>
      <c r="H12" s="1" t="str">
        <f>TEXT(Table2[[#This Row],[Date ]],"mmm")</f>
        <v>Dec</v>
      </c>
    </row>
    <row r="13" spans="1:8" x14ac:dyDescent="0.3">
      <c r="A13" s="3">
        <v>46003</v>
      </c>
      <c r="B13" s="2" t="s">
        <v>12</v>
      </c>
      <c r="C13" s="2" t="s">
        <v>11</v>
      </c>
      <c r="D13" s="17">
        <v>6</v>
      </c>
      <c r="E13" s="17">
        <v>50</v>
      </c>
      <c r="F13" s="18">
        <f>Table2[[#This Row],[ Quantity ]]*Table2[[#This Row],[ Unit Price ]]</f>
        <v>300</v>
      </c>
      <c r="G13" s="17">
        <f>IFERROR(Table2[[#This Row],[ Quantity ]]*Table2[[#This Row],[ Unit Price ]],"ERROR")</f>
        <v>300</v>
      </c>
      <c r="H13" s="1" t="str">
        <f>TEXT(Table2[[#This Row],[Date ]],"mmm")</f>
        <v>Dec</v>
      </c>
    </row>
    <row r="14" spans="1:8" x14ac:dyDescent="0.3">
      <c r="A14" s="3">
        <v>46004</v>
      </c>
      <c r="B14" s="2" t="s">
        <v>6</v>
      </c>
      <c r="C14" s="2" t="s">
        <v>7</v>
      </c>
      <c r="D14" s="17">
        <v>13</v>
      </c>
      <c r="E14" s="17">
        <v>20</v>
      </c>
      <c r="F14" s="18">
        <f>Table2[[#This Row],[ Quantity ]]*Table2[[#This Row],[ Unit Price ]]</f>
        <v>260</v>
      </c>
      <c r="G14" s="17">
        <f>IFERROR(Table2[[#This Row],[ Quantity ]]*Table2[[#This Row],[ Unit Price ]],"ERROR")</f>
        <v>260</v>
      </c>
      <c r="H14" s="1" t="str">
        <f>TEXT(Table2[[#This Row],[Date ]],"mmm")</f>
        <v>Dec</v>
      </c>
    </row>
    <row r="15" spans="1:8" x14ac:dyDescent="0.3">
      <c r="A15" s="3">
        <v>46005</v>
      </c>
      <c r="B15" s="2" t="s">
        <v>8</v>
      </c>
      <c r="C15" s="2" t="s">
        <v>9</v>
      </c>
      <c r="D15" s="17">
        <v>10</v>
      </c>
      <c r="E15" s="17">
        <v>30</v>
      </c>
      <c r="F15" s="18">
        <f>Table2[[#This Row],[ Quantity ]]*Table2[[#This Row],[ Unit Price ]]</f>
        <v>300</v>
      </c>
      <c r="G15" s="17">
        <f>IFERROR(Table2[[#This Row],[ Quantity ]]*Table2[[#This Row],[ Unit Price ]],"ERROR")</f>
        <v>300</v>
      </c>
      <c r="H15" s="1" t="str">
        <f>TEXT(Table2[[#This Row],[Date ]],"mmm")</f>
        <v>Dec</v>
      </c>
    </row>
    <row r="16" spans="1:8" x14ac:dyDescent="0.3">
      <c r="A16" s="3">
        <v>46037</v>
      </c>
      <c r="B16" s="2" t="s">
        <v>10</v>
      </c>
      <c r="C16" s="2" t="s">
        <v>11</v>
      </c>
      <c r="D16" s="17">
        <v>8</v>
      </c>
      <c r="E16" s="17">
        <v>50</v>
      </c>
      <c r="F16" s="18">
        <f>Table2[[#This Row],[ Quantity ]]*Table2[[#This Row],[ Unit Price ]]</f>
        <v>400</v>
      </c>
      <c r="G16" s="17">
        <f>IFERROR(Table2[[#This Row],[ Quantity ]]*Table2[[#This Row],[ Unit Price ]],"ERROR")</f>
        <v>400</v>
      </c>
      <c r="H16" s="1" t="str">
        <f>TEXT(Table2[[#This Row],[Date ]],"mmm")</f>
        <v>Jan</v>
      </c>
    </row>
    <row r="17" spans="1:8" x14ac:dyDescent="0.3">
      <c r="A17" s="3">
        <v>46038</v>
      </c>
      <c r="B17" s="2" t="s">
        <v>12</v>
      </c>
      <c r="C17" s="2" t="s">
        <v>7</v>
      </c>
      <c r="D17" s="17">
        <v>10</v>
      </c>
      <c r="E17" s="17">
        <v>20</v>
      </c>
      <c r="F17" s="18">
        <f>Table2[[#This Row],[ Quantity ]]*Table2[[#This Row],[ Unit Price ]]</f>
        <v>200</v>
      </c>
      <c r="G17" s="17">
        <f>IFERROR(Table2[[#This Row],[ Quantity ]]*Table2[[#This Row],[ Unit Price ]],"ERROR")</f>
        <v>200</v>
      </c>
      <c r="H17" s="1" t="str">
        <f>TEXT(Table2[[#This Row],[Date ]],"mmm")</f>
        <v>Jan</v>
      </c>
    </row>
    <row r="18" spans="1:8" x14ac:dyDescent="0.3">
      <c r="A18" s="3">
        <v>46039</v>
      </c>
      <c r="B18" s="2" t="s">
        <v>6</v>
      </c>
      <c r="C18" s="2" t="s">
        <v>9</v>
      </c>
      <c r="D18" s="17">
        <v>16</v>
      </c>
      <c r="E18" s="17">
        <v>30</v>
      </c>
      <c r="F18" s="18">
        <f>Table2[[#This Row],[ Quantity ]]*Table2[[#This Row],[ Unit Price ]]</f>
        <v>480</v>
      </c>
      <c r="G18" s="17">
        <f>IFERROR(Table2[[#This Row],[ Quantity ]]*Table2[[#This Row],[ Unit Price ]],"ERROR")</f>
        <v>480</v>
      </c>
      <c r="H18" s="1" t="str">
        <f>TEXT(Table2[[#This Row],[Date ]],"mmm")</f>
        <v>Jan</v>
      </c>
    </row>
    <row r="19" spans="1:8" x14ac:dyDescent="0.3">
      <c r="A19" s="3">
        <v>46040</v>
      </c>
      <c r="B19" s="2" t="s">
        <v>8</v>
      </c>
      <c r="C19" s="2" t="s">
        <v>11</v>
      </c>
      <c r="D19" s="17">
        <v>7</v>
      </c>
      <c r="E19" s="17">
        <v>50</v>
      </c>
      <c r="F19" s="18">
        <f>Table2[[#This Row],[ Quantity ]]*Table2[[#This Row],[ Unit Price ]]</f>
        <v>350</v>
      </c>
      <c r="G19" s="17">
        <f>IFERROR(Table2[[#This Row],[ Quantity ]]*Table2[[#This Row],[ Unit Price ]],"ERROR")</f>
        <v>350</v>
      </c>
      <c r="H19" s="1" t="str">
        <f>TEXT(Table2[[#This Row],[Date ]],"mmm")</f>
        <v>Jan</v>
      </c>
    </row>
    <row r="20" spans="1:8" x14ac:dyDescent="0.3">
      <c r="A20" s="3">
        <v>46041</v>
      </c>
      <c r="B20" s="2" t="s">
        <v>10</v>
      </c>
      <c r="C20" s="2" t="s">
        <v>7</v>
      </c>
      <c r="D20" s="17">
        <v>18</v>
      </c>
      <c r="E20" s="17">
        <v>20</v>
      </c>
      <c r="F20" s="18">
        <f>Table2[[#This Row],[ Quantity ]]*Table2[[#This Row],[ Unit Price ]]</f>
        <v>360</v>
      </c>
      <c r="G20" s="17">
        <f>IFERROR(Table2[[#This Row],[ Quantity ]]*Table2[[#This Row],[ Unit Price ]],"ERROR")</f>
        <v>360</v>
      </c>
      <c r="H20" s="1" t="str">
        <f>TEXT(Table2[[#This Row],[Date ]],"mmm")</f>
        <v>Jan</v>
      </c>
    </row>
    <row r="21" spans="1:8" x14ac:dyDescent="0.3">
      <c r="A21" s="3">
        <v>46042</v>
      </c>
      <c r="B21" s="2" t="s">
        <v>12</v>
      </c>
      <c r="C21" s="2" t="s">
        <v>9</v>
      </c>
      <c r="D21" s="17">
        <v>9</v>
      </c>
      <c r="E21" s="17">
        <v>30</v>
      </c>
      <c r="F21" s="18">
        <f>Table2[[#This Row],[ Quantity ]]*Table2[[#This Row],[ Unit Price ]]</f>
        <v>270</v>
      </c>
      <c r="G21" s="17">
        <f>IFERROR(Table2[[#This Row],[ Quantity ]]*Table2[[#This Row],[ Unit Price ]],"ERROR")</f>
        <v>270</v>
      </c>
      <c r="H21" s="1" t="str">
        <f>TEXT(Table2[[#This Row],[Date ]],"mmm")</f>
        <v>Jan</v>
      </c>
    </row>
    <row r="22" spans="1:8" x14ac:dyDescent="0.3">
      <c r="A22" s="3">
        <v>46043</v>
      </c>
      <c r="B22" s="2" t="s">
        <v>6</v>
      </c>
      <c r="C22" s="2" t="s">
        <v>11</v>
      </c>
      <c r="D22" s="17">
        <v>10</v>
      </c>
      <c r="E22" s="17">
        <v>50</v>
      </c>
      <c r="F22" s="18">
        <f>Table2[[#This Row],[ Quantity ]]*Table2[[#This Row],[ Unit Price ]]</f>
        <v>500</v>
      </c>
      <c r="G22" s="17">
        <f>IFERROR(Table2[[#This Row],[ Quantity ]]*Table2[[#This Row],[ Unit Price ]],"ERROR")</f>
        <v>500</v>
      </c>
      <c r="H22" s="1" t="str">
        <f>TEXT(Table2[[#This Row],[Date ]],"mmm")</f>
        <v>Jan</v>
      </c>
    </row>
    <row r="23" spans="1:8" x14ac:dyDescent="0.3">
      <c r="A23" s="3">
        <v>46044</v>
      </c>
      <c r="B23" s="2" t="s">
        <v>8</v>
      </c>
      <c r="C23" s="2" t="s">
        <v>7</v>
      </c>
      <c r="D23" s="17">
        <v>12</v>
      </c>
      <c r="E23" s="17">
        <v>20</v>
      </c>
      <c r="F23" s="18">
        <f>Table2[[#This Row],[ Quantity ]]*Table2[[#This Row],[ Unit Price ]]</f>
        <v>240</v>
      </c>
      <c r="G23" s="17">
        <f>IFERROR(Table2[[#This Row],[ Quantity ]]*Table2[[#This Row],[ Unit Price ]],"ERROR")</f>
        <v>240</v>
      </c>
      <c r="H23" s="1" t="str">
        <f>TEXT(Table2[[#This Row],[Date ]],"mmm")</f>
        <v>Jan</v>
      </c>
    </row>
    <row r="24" spans="1:8" x14ac:dyDescent="0.3">
      <c r="A24" s="3">
        <v>46076</v>
      </c>
      <c r="B24" s="2" t="s">
        <v>10</v>
      </c>
      <c r="C24" s="2" t="s">
        <v>9</v>
      </c>
      <c r="D24" s="17">
        <v>11</v>
      </c>
      <c r="E24" s="17">
        <v>30</v>
      </c>
      <c r="F24" s="18">
        <f>Table2[[#This Row],[ Quantity ]]*Table2[[#This Row],[ Unit Price ]]</f>
        <v>330</v>
      </c>
      <c r="G24" s="17">
        <f>IFERROR(Table2[[#This Row],[ Quantity ]]*Table2[[#This Row],[ Unit Price ]],"ERROR")</f>
        <v>330</v>
      </c>
      <c r="H24" s="1" t="str">
        <f>TEXT(Table2[[#This Row],[Date ]],"mmm")</f>
        <v>Feb</v>
      </c>
    </row>
    <row r="25" spans="1:8" x14ac:dyDescent="0.3">
      <c r="A25" s="3">
        <v>46077</v>
      </c>
      <c r="B25" s="2" t="s">
        <v>12</v>
      </c>
      <c r="C25" s="2" t="s">
        <v>11</v>
      </c>
      <c r="D25" s="17">
        <v>5</v>
      </c>
      <c r="E25" s="17">
        <v>50</v>
      </c>
      <c r="F25" s="18">
        <f>Table2[[#This Row],[ Quantity ]]*Table2[[#This Row],[ Unit Price ]]</f>
        <v>250</v>
      </c>
      <c r="G25" s="17">
        <f>IFERROR(Table2[[#This Row],[ Quantity ]]*Table2[[#This Row],[ Unit Price ]],"ERROR")</f>
        <v>250</v>
      </c>
      <c r="H25" s="1" t="str">
        <f>TEXT(Table2[[#This Row],[Date ]],"mmm")</f>
        <v>Feb</v>
      </c>
    </row>
    <row r="26" spans="1:8" x14ac:dyDescent="0.3">
      <c r="A26" s="3">
        <v>46078</v>
      </c>
      <c r="B26" s="2" t="s">
        <v>6</v>
      </c>
      <c r="C26" s="2" t="s">
        <v>7</v>
      </c>
      <c r="D26" s="17">
        <v>14</v>
      </c>
      <c r="E26" s="17">
        <v>20</v>
      </c>
      <c r="F26" s="18">
        <f>Table2[[#This Row],[ Quantity ]]*Table2[[#This Row],[ Unit Price ]]</f>
        <v>280</v>
      </c>
      <c r="G26" s="17">
        <f>IFERROR(Table2[[#This Row],[ Quantity ]]*Table2[[#This Row],[ Unit Price ]],"ERROR")</f>
        <v>280</v>
      </c>
      <c r="H26" s="1" t="str">
        <f>TEXT(Table2[[#This Row],[Date ]],"mmm")</f>
        <v>Feb</v>
      </c>
    </row>
    <row r="27" spans="1:8" x14ac:dyDescent="0.3">
      <c r="A27" s="3">
        <v>46079</v>
      </c>
      <c r="B27" s="2" t="s">
        <v>8</v>
      </c>
      <c r="C27" s="2" t="s">
        <v>9</v>
      </c>
      <c r="D27" s="17">
        <v>10</v>
      </c>
      <c r="E27" s="17">
        <v>30</v>
      </c>
      <c r="F27" s="18">
        <f>Table2[[#This Row],[ Quantity ]]*Table2[[#This Row],[ Unit Price ]]</f>
        <v>300</v>
      </c>
      <c r="G27" s="17">
        <f>IFERROR(Table2[[#This Row],[ Quantity ]]*Table2[[#This Row],[ Unit Price ]],"ERROR")</f>
        <v>300</v>
      </c>
      <c r="H27" s="1" t="str">
        <f>TEXT(Table2[[#This Row],[Date ]],"mmm")</f>
        <v>Feb</v>
      </c>
    </row>
    <row r="28" spans="1:8" x14ac:dyDescent="0.3">
      <c r="A28" s="3">
        <v>46080</v>
      </c>
      <c r="B28" s="2" t="s">
        <v>10</v>
      </c>
      <c r="C28" s="2" t="s">
        <v>11</v>
      </c>
      <c r="D28" s="17">
        <v>6</v>
      </c>
      <c r="E28" s="17">
        <v>50</v>
      </c>
      <c r="F28" s="18">
        <f>Table2[[#This Row],[ Quantity ]]*Table2[[#This Row],[ Unit Price ]]</f>
        <v>300</v>
      </c>
      <c r="G28" s="17">
        <f>IFERROR(Table2[[#This Row],[ Quantity ]]*Table2[[#This Row],[ Unit Price ]],"ERROR")</f>
        <v>300</v>
      </c>
      <c r="H28" s="1" t="str">
        <f>TEXT(Table2[[#This Row],[Date ]],"mmm")</f>
        <v>Feb</v>
      </c>
    </row>
    <row r="29" spans="1:8" x14ac:dyDescent="0.3">
      <c r="A29" s="3">
        <v>46081</v>
      </c>
      <c r="B29" s="2" t="s">
        <v>12</v>
      </c>
      <c r="C29" s="2" t="s">
        <v>7</v>
      </c>
      <c r="D29" s="17">
        <v>15</v>
      </c>
      <c r="E29" s="17">
        <v>20</v>
      </c>
      <c r="F29" s="18">
        <f>Table2[[#This Row],[ Quantity ]]*Table2[[#This Row],[ Unit Price ]]</f>
        <v>300</v>
      </c>
      <c r="G29" s="17">
        <f>IFERROR(Table2[[#This Row],[ Quantity ]]*Table2[[#This Row],[ Unit Price ]],"ERROR")</f>
        <v>300</v>
      </c>
      <c r="H29" s="1" t="str">
        <f>TEXT(Table2[[#This Row],[Date ]],"mmm")</f>
        <v>Feb</v>
      </c>
    </row>
    <row r="30" spans="1:8" x14ac:dyDescent="0.3">
      <c r="A30" s="3">
        <v>46082</v>
      </c>
      <c r="B30" s="2" t="s">
        <v>6</v>
      </c>
      <c r="C30" s="2" t="s">
        <v>9</v>
      </c>
      <c r="D30" s="17">
        <v>13</v>
      </c>
      <c r="E30" s="17">
        <v>30</v>
      </c>
      <c r="F30" s="18">
        <f>Table2[[#This Row],[ Quantity ]]*Table2[[#This Row],[ Unit Price ]]</f>
        <v>390</v>
      </c>
      <c r="G30" s="17">
        <f>IFERROR(Table2[[#This Row],[ Quantity ]]*Table2[[#This Row],[ Unit Price ]],"ERROR")</f>
        <v>390</v>
      </c>
      <c r="H30" s="1" t="str">
        <f>TEXT(Table2[[#This Row],[Date ]],"mmm")</f>
        <v>Mar</v>
      </c>
    </row>
    <row r="31" spans="1:8" x14ac:dyDescent="0.3">
      <c r="A31" s="3">
        <v>46083</v>
      </c>
      <c r="B31" s="2" t="s">
        <v>8</v>
      </c>
      <c r="C31" s="2" t="s">
        <v>11</v>
      </c>
      <c r="D31" s="17">
        <v>8</v>
      </c>
      <c r="E31" s="17">
        <v>50</v>
      </c>
      <c r="F31" s="18">
        <f>Table2[[#This Row],[ Quantity ]]*Table2[[#This Row],[ Unit Price ]]</f>
        <v>400</v>
      </c>
      <c r="G31" s="17">
        <f>IFERROR(Table2[[#This Row],[ Quantity ]]*Table2[[#This Row],[ Unit Price ]],"ERROR")</f>
        <v>400</v>
      </c>
      <c r="H31" s="1" t="str">
        <f>TEXT(Table2[[#This Row],[Date ]],"mmm")</f>
        <v>Mar</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30393-CF6D-4CC9-BC3D-76F7ED1AC7C4}">
  <dimension ref="A1:Q34"/>
  <sheetViews>
    <sheetView tabSelected="1" zoomScale="43" zoomScaleNormal="62" workbookViewId="0">
      <selection activeCell="AX3" sqref="AX3"/>
    </sheetView>
  </sheetViews>
  <sheetFormatPr defaultRowHeight="14.4" x14ac:dyDescent="0.3"/>
  <cols>
    <col min="4" max="5" width="23.77734375" bestFit="1" customWidth="1"/>
    <col min="6" max="6" width="12.44140625" bestFit="1" customWidth="1"/>
    <col min="7" max="7" width="9.5546875" bestFit="1" customWidth="1"/>
    <col min="8" max="8" width="13.88671875" customWidth="1"/>
    <col min="9" max="9" width="4.77734375" customWidth="1"/>
    <col min="10" max="10" width="15.44140625" customWidth="1"/>
    <col min="11" max="11" width="22.77734375" customWidth="1"/>
  </cols>
  <sheetData>
    <row r="1" spans="1:17" ht="33.6" customHeight="1" x14ac:dyDescent="0.3">
      <c r="A1" s="47" t="s">
        <v>27</v>
      </c>
      <c r="B1" s="47"/>
      <c r="C1" s="47"/>
      <c r="D1" s="47"/>
      <c r="E1" s="47"/>
      <c r="F1" s="47"/>
      <c r="G1" s="47"/>
      <c r="H1" s="47"/>
      <c r="I1" s="47"/>
      <c r="J1" s="47"/>
      <c r="K1" s="47"/>
      <c r="L1" s="47"/>
      <c r="M1" s="47"/>
      <c r="N1" s="47"/>
      <c r="O1" s="47"/>
      <c r="P1" s="47"/>
      <c r="Q1" s="47"/>
    </row>
    <row r="2" spans="1:17" ht="84" customHeight="1" x14ac:dyDescent="0.3">
      <c r="A2" s="48"/>
      <c r="B2" s="48"/>
      <c r="C2" s="48"/>
      <c r="D2" s="48"/>
      <c r="E2" s="48"/>
      <c r="F2" s="48"/>
      <c r="G2" s="48"/>
      <c r="H2" s="48"/>
      <c r="I2" s="48"/>
      <c r="J2" s="48"/>
      <c r="K2" s="48"/>
      <c r="L2" s="48"/>
      <c r="M2" s="48"/>
      <c r="N2" s="48"/>
      <c r="O2" s="48"/>
      <c r="P2" s="48"/>
      <c r="Q2" s="48"/>
    </row>
    <row r="3" spans="1:17" ht="25.2" customHeight="1" x14ac:dyDescent="0.3">
      <c r="A3" s="24"/>
      <c r="B3" s="24"/>
      <c r="C3" s="24"/>
      <c r="D3" s="24"/>
      <c r="E3" s="24"/>
      <c r="F3" s="24"/>
      <c r="G3" s="24"/>
      <c r="H3" s="24"/>
      <c r="I3" s="24"/>
      <c r="J3" s="24"/>
      <c r="K3" s="24"/>
      <c r="L3" s="24"/>
      <c r="M3" s="24"/>
      <c r="N3" s="24"/>
      <c r="O3" s="24"/>
      <c r="P3" s="24"/>
      <c r="Q3" s="24"/>
    </row>
    <row r="4" spans="1:17" ht="19.2" customHeight="1" x14ac:dyDescent="0.4">
      <c r="D4" s="41" t="s">
        <v>28</v>
      </c>
      <c r="E4" s="42"/>
      <c r="F4" s="42"/>
      <c r="G4" s="42"/>
      <c r="H4" s="43"/>
      <c r="J4" s="41" t="s">
        <v>29</v>
      </c>
      <c r="K4" s="42"/>
      <c r="L4" s="42"/>
      <c r="M4" s="42"/>
      <c r="N4" s="42"/>
      <c r="O4" s="42"/>
      <c r="P4" s="42"/>
      <c r="Q4" s="43"/>
    </row>
    <row r="5" spans="1:17" ht="19.2" customHeight="1" x14ac:dyDescent="0.3">
      <c r="D5" s="32" t="s">
        <v>17</v>
      </c>
      <c r="E5" s="22" t="s">
        <v>15</v>
      </c>
      <c r="F5" s="21"/>
      <c r="H5" s="26"/>
      <c r="J5" s="25" t="s">
        <v>18</v>
      </c>
      <c r="K5" s="1" t="s">
        <v>15</v>
      </c>
      <c r="Q5" s="26"/>
    </row>
    <row r="6" spans="1:17" ht="19.2" customHeight="1" x14ac:dyDescent="0.3">
      <c r="D6" s="33" t="s">
        <v>6</v>
      </c>
      <c r="E6" s="23">
        <v>3010</v>
      </c>
      <c r="F6" s="21"/>
      <c r="H6" s="26"/>
      <c r="J6" s="27" t="s">
        <v>11</v>
      </c>
      <c r="K6" s="13">
        <v>3700</v>
      </c>
      <c r="Q6" s="26"/>
    </row>
    <row r="7" spans="1:17" ht="19.2" customHeight="1" x14ac:dyDescent="0.3">
      <c r="D7" s="33" t="s">
        <v>8</v>
      </c>
      <c r="E7" s="23">
        <v>2550</v>
      </c>
      <c r="F7" s="21"/>
      <c r="H7" s="26"/>
      <c r="J7" s="27" t="s">
        <v>9</v>
      </c>
      <c r="K7" s="13">
        <v>3390</v>
      </c>
      <c r="Q7" s="26"/>
    </row>
    <row r="8" spans="1:17" ht="19.2" customHeight="1" x14ac:dyDescent="0.3">
      <c r="D8" s="33" t="s">
        <v>10</v>
      </c>
      <c r="E8" s="23">
        <v>2460</v>
      </c>
      <c r="F8" s="21"/>
      <c r="H8" s="26"/>
      <c r="J8" s="27" t="s">
        <v>7</v>
      </c>
      <c r="K8" s="13">
        <v>2700</v>
      </c>
      <c r="Q8" s="26"/>
    </row>
    <row r="9" spans="1:17" ht="19.2" customHeight="1" x14ac:dyDescent="0.3">
      <c r="D9" s="33" t="s">
        <v>12</v>
      </c>
      <c r="E9" s="23">
        <v>1770</v>
      </c>
      <c r="F9" s="21"/>
      <c r="H9" s="26"/>
      <c r="J9" s="27" t="s">
        <v>14</v>
      </c>
      <c r="K9" s="13">
        <v>9790</v>
      </c>
      <c r="Q9" s="26"/>
    </row>
    <row r="10" spans="1:17" ht="19.2" customHeight="1" x14ac:dyDescent="0.3">
      <c r="D10" s="33" t="s">
        <v>14</v>
      </c>
      <c r="E10" s="23">
        <v>9790</v>
      </c>
      <c r="F10" s="21"/>
      <c r="H10" s="26"/>
      <c r="J10" s="28"/>
      <c r="Q10" s="26"/>
    </row>
    <row r="11" spans="1:17" x14ac:dyDescent="0.3">
      <c r="D11" s="34"/>
      <c r="E11" s="19"/>
      <c r="H11" s="26"/>
      <c r="J11" s="28"/>
      <c r="Q11" s="26"/>
    </row>
    <row r="12" spans="1:17" x14ac:dyDescent="0.3">
      <c r="D12" s="35"/>
      <c r="E12" s="36"/>
      <c r="F12" s="30"/>
      <c r="G12" s="30"/>
      <c r="H12" s="31"/>
      <c r="J12" s="29"/>
      <c r="K12" s="30"/>
      <c r="L12" s="30"/>
      <c r="M12" s="30"/>
      <c r="N12" s="30"/>
      <c r="O12" s="30"/>
      <c r="P12" s="30"/>
      <c r="Q12" s="31"/>
    </row>
    <row r="13" spans="1:17" ht="23.4" customHeight="1" x14ac:dyDescent="0.3">
      <c r="D13" s="37"/>
      <c r="E13" s="19"/>
    </row>
    <row r="14" spans="1:17" ht="23.4" customHeight="1" x14ac:dyDescent="0.35">
      <c r="D14" s="49" t="s">
        <v>30</v>
      </c>
      <c r="E14" s="50"/>
      <c r="F14" s="50"/>
      <c r="G14" s="50"/>
      <c r="H14" s="51"/>
      <c r="J14" s="44" t="s">
        <v>31</v>
      </c>
      <c r="K14" s="45"/>
      <c r="L14" s="45"/>
      <c r="M14" s="45"/>
      <c r="N14" s="45"/>
      <c r="O14" s="45"/>
      <c r="P14" s="45"/>
      <c r="Q14" s="46"/>
    </row>
    <row r="15" spans="1:17" ht="23.4" customHeight="1" x14ac:dyDescent="0.3">
      <c r="D15" s="25" t="s">
        <v>15</v>
      </c>
      <c r="E15" s="20" t="s">
        <v>16</v>
      </c>
      <c r="F15" s="1"/>
      <c r="G15" s="1"/>
      <c r="H15" s="38"/>
      <c r="J15" s="32" t="s">
        <v>26</v>
      </c>
      <c r="K15" s="22" t="s">
        <v>15</v>
      </c>
      <c r="L15" s="22"/>
      <c r="M15" s="22"/>
      <c r="N15" s="22"/>
      <c r="O15" s="22"/>
      <c r="P15" s="22"/>
      <c r="Q15" s="40"/>
    </row>
    <row r="16" spans="1:17" ht="23.4" customHeight="1" x14ac:dyDescent="0.3">
      <c r="D16" s="25" t="s">
        <v>17</v>
      </c>
      <c r="E16" s="1" t="s">
        <v>7</v>
      </c>
      <c r="F16" s="1" t="s">
        <v>9</v>
      </c>
      <c r="G16" s="1" t="s">
        <v>11</v>
      </c>
      <c r="H16" s="38" t="s">
        <v>14</v>
      </c>
      <c r="J16" s="33" t="s">
        <v>20</v>
      </c>
      <c r="K16" s="23">
        <v>2800</v>
      </c>
      <c r="L16" s="22"/>
      <c r="M16" s="22"/>
      <c r="N16" s="22"/>
      <c r="O16" s="22"/>
      <c r="P16" s="22"/>
      <c r="Q16" s="40"/>
    </row>
    <row r="17" spans="4:17" ht="23.4" customHeight="1" x14ac:dyDescent="0.3">
      <c r="D17" s="27" t="s">
        <v>10</v>
      </c>
      <c r="E17" s="13">
        <v>760</v>
      </c>
      <c r="F17" s="13">
        <v>750</v>
      </c>
      <c r="G17" s="13">
        <v>950</v>
      </c>
      <c r="H17" s="39">
        <v>2460</v>
      </c>
      <c r="I17" s="19"/>
      <c r="J17" s="33" t="s">
        <v>21</v>
      </c>
      <c r="K17" s="23">
        <v>1760</v>
      </c>
      <c r="L17" s="22"/>
      <c r="M17" s="22"/>
      <c r="N17" s="22"/>
      <c r="O17" s="22"/>
      <c r="P17" s="22"/>
      <c r="Q17" s="40"/>
    </row>
    <row r="18" spans="4:17" ht="23.4" customHeight="1" x14ac:dyDescent="0.3">
      <c r="D18" s="27" t="s">
        <v>6</v>
      </c>
      <c r="E18" s="13">
        <v>740</v>
      </c>
      <c r="F18" s="13">
        <v>1320</v>
      </c>
      <c r="G18" s="13">
        <v>950</v>
      </c>
      <c r="H18" s="39">
        <v>3010</v>
      </c>
      <c r="I18" s="19"/>
      <c r="J18" s="33" t="s">
        <v>22</v>
      </c>
      <c r="K18" s="23">
        <v>790</v>
      </c>
      <c r="L18" s="22"/>
      <c r="M18" s="22"/>
      <c r="N18" s="22"/>
      <c r="O18" s="22"/>
      <c r="P18" s="22"/>
      <c r="Q18" s="40"/>
    </row>
    <row r="19" spans="4:17" ht="23.4" customHeight="1" x14ac:dyDescent="0.3">
      <c r="D19" s="27" t="s">
        <v>8</v>
      </c>
      <c r="E19" s="13">
        <v>460</v>
      </c>
      <c r="F19" s="13">
        <v>840</v>
      </c>
      <c r="G19" s="13">
        <v>1250</v>
      </c>
      <c r="H19" s="39">
        <v>2550</v>
      </c>
      <c r="I19" s="19"/>
      <c r="J19" s="33" t="s">
        <v>23</v>
      </c>
      <c r="K19" s="23">
        <v>690</v>
      </c>
      <c r="L19" s="22"/>
      <c r="M19" s="22"/>
      <c r="N19" s="22"/>
      <c r="O19" s="22"/>
      <c r="P19" s="22"/>
      <c r="Q19" s="40"/>
    </row>
    <row r="20" spans="4:17" ht="23.4" customHeight="1" x14ac:dyDescent="0.3">
      <c r="D20" s="27" t="s">
        <v>12</v>
      </c>
      <c r="E20" s="13">
        <v>740</v>
      </c>
      <c r="F20" s="13">
        <v>480</v>
      </c>
      <c r="G20" s="13">
        <v>550</v>
      </c>
      <c r="H20" s="39">
        <v>1770</v>
      </c>
      <c r="I20" s="19"/>
      <c r="J20" s="33" t="s">
        <v>24</v>
      </c>
      <c r="K20" s="23">
        <v>2250</v>
      </c>
      <c r="L20" s="22"/>
      <c r="M20" s="22"/>
      <c r="N20" s="22"/>
      <c r="O20" s="22"/>
      <c r="P20" s="22"/>
      <c r="Q20" s="40"/>
    </row>
    <row r="21" spans="4:17" ht="23.4" customHeight="1" x14ac:dyDescent="0.3">
      <c r="D21" s="27" t="s">
        <v>14</v>
      </c>
      <c r="E21" s="13">
        <v>2700</v>
      </c>
      <c r="F21" s="13">
        <v>3390</v>
      </c>
      <c r="G21" s="13">
        <v>3700</v>
      </c>
      <c r="H21" s="39">
        <v>9790</v>
      </c>
      <c r="I21" s="19"/>
      <c r="J21" s="33" t="s">
        <v>25</v>
      </c>
      <c r="K21" s="23">
        <v>1500</v>
      </c>
      <c r="L21" s="22"/>
      <c r="M21" s="22"/>
      <c r="N21" s="22"/>
      <c r="O21" s="22"/>
      <c r="P21" s="22"/>
      <c r="Q21" s="40"/>
    </row>
    <row r="22" spans="4:17" ht="23.4" customHeight="1" x14ac:dyDescent="0.3">
      <c r="D22" s="28"/>
      <c r="H22" s="26"/>
      <c r="J22" s="33" t="s">
        <v>14</v>
      </c>
      <c r="K22" s="23">
        <v>9790</v>
      </c>
      <c r="L22" s="22"/>
      <c r="M22" s="22"/>
      <c r="N22" s="22"/>
      <c r="O22" s="22"/>
      <c r="P22" s="22"/>
      <c r="Q22" s="40"/>
    </row>
    <row r="23" spans="4:17" x14ac:dyDescent="0.3">
      <c r="D23" s="28"/>
      <c r="H23" s="26"/>
      <c r="J23" s="28"/>
      <c r="Q23" s="26"/>
    </row>
    <row r="24" spans="4:17" x14ac:dyDescent="0.3">
      <c r="D24" s="28"/>
      <c r="H24" s="26"/>
      <c r="J24" s="28"/>
      <c r="Q24" s="26"/>
    </row>
    <row r="25" spans="4:17" x14ac:dyDescent="0.3">
      <c r="D25" s="28"/>
      <c r="H25" s="26"/>
      <c r="J25" s="28"/>
      <c r="Q25" s="26"/>
    </row>
    <row r="26" spans="4:17" x14ac:dyDescent="0.3">
      <c r="D26" s="28"/>
      <c r="H26" s="26"/>
      <c r="J26" s="28"/>
      <c r="Q26" s="26"/>
    </row>
    <row r="27" spans="4:17" x14ac:dyDescent="0.3">
      <c r="D27" s="28"/>
      <c r="H27" s="26"/>
      <c r="J27" s="28"/>
      <c r="Q27" s="26"/>
    </row>
    <row r="28" spans="4:17" x14ac:dyDescent="0.3">
      <c r="D28" s="28"/>
      <c r="H28" s="26"/>
      <c r="J28" s="28"/>
      <c r="Q28" s="26"/>
    </row>
    <row r="29" spans="4:17" x14ac:dyDescent="0.3">
      <c r="D29" s="28"/>
      <c r="H29" s="26"/>
      <c r="J29" s="28"/>
      <c r="Q29" s="26"/>
    </row>
    <row r="30" spans="4:17" x14ac:dyDescent="0.3">
      <c r="D30" s="28"/>
      <c r="H30" s="26"/>
      <c r="J30" s="28"/>
      <c r="Q30" s="26"/>
    </row>
    <row r="31" spans="4:17" x14ac:dyDescent="0.3">
      <c r="D31" s="28"/>
      <c r="H31" s="26"/>
      <c r="J31" s="28"/>
      <c r="Q31" s="26"/>
    </row>
    <row r="32" spans="4:17" x14ac:dyDescent="0.3">
      <c r="D32" s="28"/>
      <c r="H32" s="26"/>
      <c r="J32" s="28"/>
      <c r="Q32" s="26"/>
    </row>
    <row r="33" spans="4:17" x14ac:dyDescent="0.3">
      <c r="D33" s="28"/>
      <c r="H33" s="26"/>
      <c r="J33" s="28"/>
      <c r="Q33" s="26"/>
    </row>
    <row r="34" spans="4:17" x14ac:dyDescent="0.3">
      <c r="D34" s="29"/>
      <c r="E34" s="30"/>
      <c r="F34" s="30"/>
      <c r="G34" s="30"/>
      <c r="H34" s="31"/>
      <c r="J34" s="29"/>
      <c r="K34" s="30"/>
      <c r="L34" s="30"/>
      <c r="M34" s="30"/>
      <c r="N34" s="30"/>
      <c r="O34" s="30"/>
      <c r="P34" s="30"/>
      <c r="Q34" s="31"/>
    </row>
  </sheetData>
  <mergeCells count="6">
    <mergeCell ref="J4:Q4"/>
    <mergeCell ref="J14:Q14"/>
    <mergeCell ref="A1:Q1"/>
    <mergeCell ref="A2:Q2"/>
    <mergeCell ref="D14:H14"/>
    <mergeCell ref="D4:H4"/>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raw data</vt:lpstr>
      <vt:lpstr>cleaned data</vt:lpstr>
      <vt:lpstr>pivot table</vt:lpstr>
      <vt:lpstr>analysis</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Gupta</dc:creator>
  <cp:lastModifiedBy>Khushi Gupta</cp:lastModifiedBy>
  <dcterms:created xsi:type="dcterms:W3CDTF">2026-04-28T09:29:17Z</dcterms:created>
  <dcterms:modified xsi:type="dcterms:W3CDTF">2026-08-28T14:21:21Z</dcterms:modified>
</cp:coreProperties>
</file>